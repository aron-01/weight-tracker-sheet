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<sst xmlns="http://schemas.openxmlformats.org/spreadsheetml/2006/main" count="18" uniqueCount="11">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</sst>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822240826008"/>
          <c:y val="0.0666666666666667"/>
          <c:w val="0.70559508860053"/>
          <c:h val="0.858810810810811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76.6</c:v>
                </c:pt>
                <c:pt idx="1">
                  <c:v>76.6</c:v>
                </c:pt>
                <c:pt idx="2">
                  <c:v>76.5</c:v>
                </c:pt>
                <c:pt idx="3">
                  <c:v>76.5</c:v>
                </c:pt>
                <c:pt idx="4">
                  <c:v>76.3</c:v>
                </c:pt>
                <c:pt idx="5">
                  <c:v>78.5</c:v>
                </c:pt>
                <c:pt idx="6">
                  <c:v>78.3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76.8714285714286</c:v>
                </c:pt>
                <c:pt idx="1">
                  <c:v>77.0428571428571</c:v>
                </c:pt>
                <c:pt idx="2">
                  <c:v>77.1166666666667</c:v>
                </c:pt>
                <c:pt idx="3">
                  <c:v>77.22</c:v>
                </c:pt>
                <c:pt idx="4">
                  <c:v>77.4</c:v>
                </c:pt>
                <c:pt idx="5">
                  <c:v>77.7</c:v>
                </c:pt>
                <c:pt idx="6">
                  <c:v>78.4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342372"/>
        <c:axId val="23290989"/>
      </c:lineChart>
      <c:catAx>
        <c:axId val="22342372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3290989"/>
        <c:crossesAt val="0"/>
        <c:auto val="1"/>
        <c:lblAlgn val="ctr"/>
        <c:lblOffset val="100"/>
        <c:noMultiLvlLbl val="0"/>
      </c:catAx>
      <c:valAx>
        <c:axId val="2329098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234237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395348837209"/>
          <c:y val="0.0666666666666667"/>
          <c:w val="0.705627906976744"/>
          <c:h val="0.858810810810811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356676"/>
        <c:axId val="12343784"/>
      </c:lineChart>
      <c:catAx>
        <c:axId val="22356676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2343784"/>
        <c:crosses val="autoZero"/>
        <c:auto val="1"/>
        <c:lblAlgn val="ctr"/>
        <c:lblOffset val="100"/>
        <c:noMultiLvlLbl val="0"/>
      </c:catAx>
      <c:valAx>
        <c:axId val="1234378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235667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687240</xdr:colOff>
      <xdr:row>39</xdr:row>
      <xdr:rowOff>183240</xdr:rowOff>
    </xdr:to>
    <xdr:graphicFrame>
      <xdr:nvGraphicFramePr>
        <xdr:cNvPr id="1" name=""/>
        <xdr:cNvGraphicFramePr/>
      </xdr:nvGraphicFramePr>
      <xdr:xfrm>
        <a:off x="11475360" y="2618280"/>
        <a:ext cx="7740000" cy="499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74160</xdr:colOff>
      <xdr:row>35</xdr:row>
      <xdr:rowOff>3600</xdr:rowOff>
    </xdr:to>
    <xdr:graphicFrame>
      <xdr:nvGraphicFramePr>
        <xdr:cNvPr id="2" name=""/>
        <xdr:cNvGraphicFramePr/>
      </xdr:nvGraphicFramePr>
      <xdr:xfrm>
        <a:off x="9101160" y="1676520"/>
        <a:ext cx="7739640" cy="499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6" activeCellId="0" sqref="H6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46067</v>
      </c>
      <c r="L1" s="9" t="n">
        <f aca="false">INDEX(B:B, COUNTA(B:B)-7+ROW())</f>
        <v>76.6</v>
      </c>
      <c r="M1" s="10" t="n">
        <f aca="false">INDEX(G:G, COUNTA(B:B)-7+ROW())</f>
        <v>76.8714285714286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 t="n">
        <f aca="false">AVERAGE(B1:B7)</f>
        <v>77.5142857142857</v>
      </c>
      <c r="K2" s="8" t="n">
        <f aca="false">INDEX(A:A, COUNTA(B:B)-7+ROW())</f>
        <v>46068</v>
      </c>
      <c r="L2" s="9" t="n">
        <f aca="false">INDEX(B:B, COUNTA(B:B)-7+ROW())</f>
        <v>76.6</v>
      </c>
      <c r="M2" s="10" t="n">
        <f aca="false">INDEX(G:G, COUNTA(B:B)-7+ROW())</f>
        <v>77.0428571428571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 t="n">
        <f aca="false">AVERAGE(B2:B8)</f>
        <v>77.1142857142857</v>
      </c>
      <c r="K3" s="8" t="n">
        <f aca="false">INDEX(A:A, COUNTA(B:B)-7+ROW())</f>
        <v>46069</v>
      </c>
      <c r="L3" s="9" t="n">
        <f aca="false">INDEX(B:B, COUNTA(B:B)-7+ROW())</f>
        <v>76.5</v>
      </c>
      <c r="M3" s="10" t="n">
        <f aca="false">INDEX(G:G, COUNTA(B:B)-7+ROW())</f>
        <v>77.1166666666667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 t="n">
        <f aca="false">AVERAGE(B3:B9)</f>
        <v>76.7714285714286</v>
      </c>
      <c r="H4" s="6" t="s">
        <v>3</v>
      </c>
      <c r="I4" s="12" t="n">
        <f aca="true">MEDIAN(OFFSET(B1, COUNTA(B:B)-7, 0, 7))</f>
        <v>76.6</v>
      </c>
      <c r="K4" s="8" t="n">
        <f aca="false">INDEX(A:A, COUNTA(B:B)-7+ROW())</f>
        <v>46070</v>
      </c>
      <c r="L4" s="9" t="n">
        <f aca="false">INDEX(B:B, COUNTA(B:B)-7+ROW())</f>
        <v>76.5</v>
      </c>
      <c r="M4" s="10" t="n">
        <f aca="false">INDEX(G:G, COUNTA(B:B)-7+ROW())</f>
        <v>77.22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 t="n">
        <f aca="false">AVERAGE(B4:B10)</f>
        <v>76.8714285714286</v>
      </c>
      <c r="H5" s="1" t="s">
        <v>0</v>
      </c>
      <c r="I5" s="12" t="n">
        <f aca="true">AVERAGE(OFFSET(B1, COUNTA(B:B)-7, 0, 7))</f>
        <v>77.0428571428571</v>
      </c>
      <c r="K5" s="8" t="n">
        <f aca="false">INDEX(A:A, COUNTA(B:B)-7+ROW())</f>
        <v>46071</v>
      </c>
      <c r="L5" s="9" t="n">
        <f aca="false">INDEX(B:B, COUNTA(B:B)-7+ROW())</f>
        <v>76.3</v>
      </c>
      <c r="M5" s="10" t="n">
        <f aca="false">INDEX(G:G, COUNTA(B:B)-7+ROW())</f>
        <v>77.4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 t="n">
        <f aca="false">AVERAGE(B5:B11)</f>
        <v>77.0428571428571</v>
      </c>
      <c r="H6" s="6"/>
      <c r="K6" s="8" t="n">
        <f aca="false">INDEX(A:A, COUNTA(B:B)-7+ROW())</f>
        <v>46072</v>
      </c>
      <c r="L6" s="9" t="n">
        <f aca="false">INDEX(B:B, COUNTA(B:B)-7+ROW())</f>
        <v>78.5</v>
      </c>
      <c r="M6" s="10" t="n">
        <f aca="false">INDEX(G:G, COUNTA(B:B)-7+ROW())</f>
        <v>77.7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 t="n">
        <f aca="false">AVERAGE(B6:B12)</f>
        <v>77.1166666666667</v>
      </c>
      <c r="H7" s="6" t="s">
        <v>4</v>
      </c>
      <c r="I7" s="3" t="n">
        <v>70</v>
      </c>
      <c r="K7" s="8" t="n">
        <f aca="false">INDEX(A:A, COUNTA(B:B)-7+ROW())</f>
        <v>46073</v>
      </c>
      <c r="L7" s="9" t="n">
        <f aca="false">INDEX(B:B, COUNTA(B:B)-7+ROW())</f>
        <v>78.3</v>
      </c>
      <c r="M7" s="10" t="n">
        <f aca="false">INDEX(G:G, COUNTA(B:B)-7+ROW())</f>
        <v>78.4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 t="n">
        <f aca="false">AVERAGE(B7:B13)</f>
        <v>77.22</v>
      </c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AVERAGE(B8:B14)</f>
        <v>77.4</v>
      </c>
      <c r="H9" s="6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AVERAGE(B9:B15)</f>
        <v>77.7</v>
      </c>
      <c r="H10" s="6" t="s">
        <v>5</v>
      </c>
      <c r="I10" s="1" t="s">
        <v>7</v>
      </c>
      <c r="J10" s="3" t="n">
        <f aca="false">((I5 - I7) * 7000) / J9</f>
        <v>49.2999999999999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AVERAGE(B10:B16)</f>
        <v>78.4</v>
      </c>
      <c r="H11" s="1" t="s">
        <v>5</v>
      </c>
    </row>
    <row r="12" customFormat="false" ht="15" hidden="false" customHeight="false" outlineLevel="0" collapsed="false">
      <c r="A12" s="5" t="n">
        <v>46074</v>
      </c>
      <c r="C12" s="11" t="n">
        <f aca="false">B12-B11</f>
        <v>-78.3</v>
      </c>
      <c r="D12" s="3" t="n">
        <f aca="false">B12*2.204623</f>
        <v>0</v>
      </c>
      <c r="E12" s="7" t="n">
        <f aca="false">C12*2.204623</f>
        <v>-172.6219809</v>
      </c>
      <c r="F12" s="4" t="n">
        <f aca="false">A12</f>
        <v>46074</v>
      </c>
      <c r="G12" s="7" t="n">
        <f aca="false">AVERAGE(B11:B17)</f>
        <v>78.3</v>
      </c>
    </row>
    <row r="13" customFormat="false" ht="15" hidden="false" customHeight="false" outlineLevel="0" collapsed="false">
      <c r="A13" s="5" t="n">
        <v>46075</v>
      </c>
      <c r="C13" s="11" t="n">
        <f aca="false">B13-B12</f>
        <v>0</v>
      </c>
      <c r="D13" s="3" t="n">
        <f aca="false">B13*2.204623</f>
        <v>0</v>
      </c>
      <c r="E13" s="7" t="n">
        <f aca="false">C13*2.204623</f>
        <v>0</v>
      </c>
      <c r="F13" s="4" t="n">
        <f aca="false">A13</f>
        <v>46075</v>
      </c>
      <c r="G13" s="7" t="e">
        <f aca="false">AVERAGE(B12:B18)</f>
        <v>#DIV/0!</v>
      </c>
    </row>
    <row r="14" customFormat="false" ht="15" hidden="false" customHeight="false" outlineLevel="0" collapsed="false">
      <c r="A14" s="5" t="n">
        <v>46076</v>
      </c>
      <c r="C14" s="11" t="n">
        <f aca="false">B14-B13</f>
        <v>0</v>
      </c>
      <c r="D14" s="3" t="n">
        <f aca="false">B14*2.204623</f>
        <v>0</v>
      </c>
      <c r="E14" s="7" t="n">
        <f aca="false">C14*2.204623</f>
        <v>0</v>
      </c>
      <c r="F14" s="4" t="n">
        <f aca="false">A14</f>
        <v>46076</v>
      </c>
      <c r="G14" s="7" t="e">
        <f aca="false">AVERAGE(B13:B19)</f>
        <v>#DIV/0!</v>
      </c>
    </row>
    <row r="15" customFormat="false" ht="15" hidden="false" customHeight="false" outlineLevel="0" collapsed="false">
      <c r="A15" s="5" t="n">
        <v>46077</v>
      </c>
      <c r="C15" s="11" t="n">
        <f aca="false">B15-B14</f>
        <v>0</v>
      </c>
      <c r="D15" s="3" t="n">
        <f aca="false">B15*2.204623</f>
        <v>0</v>
      </c>
      <c r="E15" s="7" t="n">
        <f aca="false">C15*2.204623</f>
        <v>0</v>
      </c>
      <c r="F15" s="4" t="n">
        <f aca="false">A15</f>
        <v>46077</v>
      </c>
      <c r="G15" s="7" t="e">
        <f aca="false">AVERAGE(B14:B20)</f>
        <v>#DIV/0!</v>
      </c>
    </row>
    <row r="16" customFormat="false" ht="15" hidden="false" customHeight="false" outlineLevel="0" collapsed="false">
      <c r="A16" s="5" t="n">
        <v>46078</v>
      </c>
      <c r="C16" s="11" t="n">
        <f aca="false">B16-B15</f>
        <v>0</v>
      </c>
      <c r="D16" s="3" t="n">
        <f aca="false">B16*2.204623</f>
        <v>0</v>
      </c>
      <c r="E16" s="7" t="n">
        <f aca="false">C16*2.204623</f>
        <v>0</v>
      </c>
      <c r="F16" s="4" t="n">
        <f aca="false">A16</f>
        <v>46078</v>
      </c>
      <c r="G16" s="7" t="e">
        <f aca="false">AVERAGE(B15:B21)</f>
        <v>#DIV/0!</v>
      </c>
    </row>
    <row r="17" customFormat="false" ht="15" hidden="false" customHeight="false" outlineLevel="0" collapsed="false">
      <c r="A17" s="5" t="n">
        <v>46079</v>
      </c>
      <c r="C17" s="11" t="n">
        <f aca="false">B17-B16</f>
        <v>0</v>
      </c>
      <c r="D17" s="3" t="n">
        <f aca="false">B17*2.204623</f>
        <v>0</v>
      </c>
      <c r="E17" s="7" t="n">
        <f aca="false">C17*2.204623</f>
        <v>0</v>
      </c>
      <c r="F17" s="4" t="n">
        <f aca="false">A17</f>
        <v>46079</v>
      </c>
      <c r="G17" s="7" t="e">
        <f aca="false">AVERAGE(B16:B22)</f>
        <v>#DIV/0!</v>
      </c>
    </row>
    <row r="18" customFormat="false" ht="15" hidden="false" customHeight="false" outlineLevel="0" collapsed="false">
      <c r="A18" s="5" t="n">
        <v>46080</v>
      </c>
      <c r="C18" s="11" t="n">
        <f aca="false">B18-B17</f>
        <v>0</v>
      </c>
      <c r="D18" s="3" t="n">
        <f aca="false">B18*2.204623</f>
        <v>0</v>
      </c>
      <c r="E18" s="7" t="n">
        <f aca="false">C18*2.204623</f>
        <v>0</v>
      </c>
      <c r="F18" s="4" t="n">
        <f aca="false">A18</f>
        <v>46080</v>
      </c>
      <c r="G18" s="7" t="e">
        <f aca="false">AVERAGE(B17:B23)</f>
        <v>#DIV/0!</v>
      </c>
    </row>
    <row r="19" customFormat="false" ht="15" hidden="false" customHeight="false" outlineLevel="0" collapsed="false">
      <c r="A19" s="5" t="n">
        <v>46081</v>
      </c>
      <c r="C19" s="11" t="n">
        <f aca="false">B19-B18</f>
        <v>0</v>
      </c>
      <c r="D19" s="3" t="n">
        <f aca="false">B19*2.204623</f>
        <v>0</v>
      </c>
      <c r="E19" s="7" t="n">
        <f aca="false">C19*2.204623</f>
        <v>0</v>
      </c>
      <c r="F19" s="4" t="n">
        <f aca="false">A19</f>
        <v>46081</v>
      </c>
      <c r="G19" s="7" t="e">
        <f aca="false">AVERAGE(B18:B24)</f>
        <v>#DIV/0!</v>
      </c>
    </row>
    <row r="20" customFormat="false" ht="15" hidden="false" customHeight="false" outlineLevel="0" collapsed="false">
      <c r="A20" s="5" t="n">
        <v>46082</v>
      </c>
      <c r="C20" s="11" t="n">
        <f aca="false">B20-B19</f>
        <v>0</v>
      </c>
      <c r="D20" s="3" t="n">
        <f aca="false">B20*2.204623</f>
        <v>0</v>
      </c>
      <c r="E20" s="7" t="n">
        <f aca="false">C20*2.204623</f>
        <v>0</v>
      </c>
      <c r="F20" s="4" t="n">
        <f aca="false">A20</f>
        <v>46082</v>
      </c>
      <c r="G20" s="7" t="e">
        <f aca="false">AVERAGE(B19:B25)</f>
        <v>#DIV/0!</v>
      </c>
    </row>
    <row r="21" customFormat="false" ht="15" hidden="false" customHeight="false" outlineLevel="0" collapsed="false">
      <c r="A21" s="5" t="n">
        <v>46083</v>
      </c>
      <c r="C21" s="11" t="n">
        <f aca="false">B21-B20</f>
        <v>0</v>
      </c>
      <c r="D21" s="3" t="n">
        <f aca="false">B21*2.204623</f>
        <v>0</v>
      </c>
      <c r="E21" s="7" t="n">
        <f aca="false">C21*2.204623</f>
        <v>0</v>
      </c>
      <c r="F21" s="4" t="n">
        <f aca="false">A21</f>
        <v>46083</v>
      </c>
      <c r="G21" s="7" t="e">
        <f aca="false">AVERAGE(B20:B26)</f>
        <v>#DIV/0!</v>
      </c>
    </row>
    <row r="22" customFormat="false" ht="15" hidden="false" customHeight="false" outlineLevel="0" collapsed="false">
      <c r="A22" s="5" t="n">
        <v>46084</v>
      </c>
      <c r="C22" s="11" t="n">
        <f aca="false">B22-B21</f>
        <v>0</v>
      </c>
      <c r="D22" s="3" t="n">
        <f aca="false">B22*2.204623</f>
        <v>0</v>
      </c>
      <c r="E22" s="7" t="n">
        <f aca="false">C22*2.204623</f>
        <v>0</v>
      </c>
      <c r="F22" s="4" t="n">
        <f aca="false">A22</f>
        <v>46084</v>
      </c>
      <c r="G22" s="7" t="e">
        <f aca="false">AVERAGE(B21:B27)</f>
        <v>#DIV/0!</v>
      </c>
    </row>
    <row r="23" customFormat="false" ht="15" hidden="false" customHeight="false" outlineLevel="0" collapsed="false">
      <c r="A23" s="5" t="n">
        <v>46085</v>
      </c>
      <c r="C23" s="11" t="n">
        <f aca="false">B23-B22</f>
        <v>0</v>
      </c>
      <c r="D23" s="3" t="n">
        <f aca="false">B23*2.204623</f>
        <v>0</v>
      </c>
      <c r="E23" s="7" t="n">
        <f aca="false">C23*2.204623</f>
        <v>0</v>
      </c>
      <c r="F23" s="4" t="n">
        <f aca="false">A23</f>
        <v>46085</v>
      </c>
      <c r="G23" s="7" t="e">
        <f aca="false">AVERAGE(B22:B28)</f>
        <v>#DIV/0!</v>
      </c>
    </row>
    <row r="24" customFormat="false" ht="15" hidden="false" customHeight="false" outlineLevel="0" collapsed="false">
      <c r="A24" s="5" t="n">
        <v>46086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46086</v>
      </c>
      <c r="G24" s="7" t="e">
        <f aca="false">AVERAGE(B23:B29)</f>
        <v>#DIV/0!</v>
      </c>
    </row>
    <row r="25" customFormat="false" ht="15" hidden="false" customHeight="false" outlineLevel="0" collapsed="false">
      <c r="A25" s="5" t="n">
        <v>46087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46087</v>
      </c>
      <c r="G25" s="7" t="e">
        <f aca="false">AVERAGE(B24:B30)</f>
        <v>#DIV/0!</v>
      </c>
    </row>
    <row r="26" customFormat="false" ht="15" hidden="false" customHeight="false" outlineLevel="0" collapsed="false">
      <c r="A26" s="5" t="n">
        <v>46088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46088</v>
      </c>
      <c r="G26" s="7" t="e">
        <f aca="false">AVERAGE(B25:B31)</f>
        <v>#DIV/0!</v>
      </c>
    </row>
    <row r="27" customFormat="false" ht="15" hidden="false" customHeight="false" outlineLevel="0" collapsed="false">
      <c r="A27" s="5" t="n">
        <v>46089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46089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46090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8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9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10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1712</TotalTime>
  <Application>LibreOffice/26.2.0.3$Linux_X86_64 LibreOffice_project/f1632ca95bc60e4a160604f46a6d9de4857c31ac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2026-02-20T18:55:24Z</dcterms:modified>
  <cp:revision>117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