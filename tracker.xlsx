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<sst xmlns="http://schemas.openxmlformats.org/spreadsheetml/2006/main" count="23" uniqueCount="12">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</sst>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3277267856311"/>
          <c:y val="0.0668497506684975"/>
          <c:w val="0.705073848017519"/>
          <c:h val="0.855676808556768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75.5</c:v>
                </c:pt>
                <c:pt idx="1">
                  <c:v>75</c:v>
                </c:pt>
                <c:pt idx="2">
                  <c:v>75.3</c:v>
                </c:pt>
                <c:pt idx="3">
                  <c:v>76.6</c:v>
                </c:pt>
                <c:pt idx="4">
                  <c:v>75.7</c:v>
                </c:pt>
                <c:pt idx="5">
                  <c:v>75.2</c:v>
                </c:pt>
                <c:pt idx="6">
                  <c:v>75.1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Thursday</c:v>
                </c:pt>
                <c:pt idx="1">
                  <c:v>Friday</c:v>
                </c:pt>
                <c:pt idx="2">
                  <c:v>Saturday</c:v>
                </c:pt>
                <c:pt idx="3">
                  <c:v>Sunday</c:v>
                </c:pt>
                <c:pt idx="4">
                  <c:v>Monday</c:v>
                </c:pt>
                <c:pt idx="5">
                  <c:v>Tuesday</c:v>
                </c:pt>
                <c:pt idx="6">
                  <c:v>Wednesday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75.7875</c:v>
                </c:pt>
                <c:pt idx="1">
                  <c:v>75.7</c:v>
                </c:pt>
                <c:pt idx="2">
                  <c:v>75.7</c:v>
                </c:pt>
                <c:pt idx="3">
                  <c:v>75.925</c:v>
                </c:pt>
                <c:pt idx="4">
                  <c:v>75.775</c:v>
                </c:pt>
                <c:pt idx="5">
                  <c:v>75.6375</c:v>
                </c:pt>
                <c:pt idx="6">
                  <c:v>75.5375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3445726"/>
        <c:axId val="43739184"/>
      </c:lineChart>
      <c:catAx>
        <c:axId val="43445726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3739184"/>
        <c:crossesAt val="0"/>
        <c:auto val="1"/>
        <c:lblAlgn val="ctr"/>
        <c:lblOffset val="100"/>
        <c:noMultiLvlLbl val="0"/>
      </c:catAx>
      <c:valAx>
        <c:axId val="4373918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344572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849687820334"/>
          <c:y val="0.0668690811826791"/>
          <c:w val="0.705106700214332"/>
          <c:h val="0.855707366442565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9641"/>
        <c:axId val="77054155"/>
      </c:lineChart>
      <c:catAx>
        <c:axId val="969641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7054155"/>
        <c:crosses val="autoZero"/>
        <c:auto val="1"/>
        <c:lblAlgn val="ctr"/>
        <c:lblOffset val="100"/>
        <c:noMultiLvlLbl val="0"/>
      </c:catAx>
      <c:valAx>
        <c:axId val="7705415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6964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673560</xdr:colOff>
      <xdr:row>39</xdr:row>
      <xdr:rowOff>169560</xdr:rowOff>
    </xdr:to>
    <xdr:graphicFrame>
      <xdr:nvGraphicFramePr>
        <xdr:cNvPr id="1" name=""/>
        <xdr:cNvGraphicFramePr/>
      </xdr:nvGraphicFramePr>
      <xdr:xfrm>
        <a:off x="11475360" y="2618280"/>
        <a:ext cx="7726320" cy="498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60480</xdr:colOff>
      <xdr:row>34</xdr:row>
      <xdr:rowOff>178920</xdr:rowOff>
    </xdr:to>
    <xdr:graphicFrame>
      <xdr:nvGraphicFramePr>
        <xdr:cNvPr id="2" name=""/>
        <xdr:cNvGraphicFramePr/>
      </xdr:nvGraphicFramePr>
      <xdr:xfrm>
        <a:off x="9101160" y="1676520"/>
        <a:ext cx="7725960" cy="497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J26" activeCellId="0" sqref="J26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46100</v>
      </c>
      <c r="L1" s="9" t="n">
        <f aca="false">INDEX(B:B, COUNTA(B:B)-7+ROW())</f>
        <v>75.5</v>
      </c>
      <c r="M1" s="10" t="n">
        <f aca="false">INDEX(G:G, COUNTA(B:B)-7+ROW())</f>
        <v>75.7875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46101</v>
      </c>
      <c r="L2" s="9" t="n">
        <f aca="false">INDEX(B:B, COUNTA(B:B)-7+ROW())</f>
        <v>75</v>
      </c>
      <c r="M2" s="10" t="n">
        <f aca="false">INDEX(G:G, COUNTA(B:B)-7+ROW())</f>
        <v>75.7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46102</v>
      </c>
      <c r="L3" s="9" t="n">
        <f aca="false">INDEX(B:B, COUNTA(B:B)-7+ROW())</f>
        <v>75.3</v>
      </c>
      <c r="M3" s="10" t="n">
        <f aca="false">INDEX(G:G, COUNTA(B:B)-7+ROW())</f>
        <v>75.7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3</v>
      </c>
      <c r="I4" s="12" t="n">
        <f aca="true">MEDIAN(OFFSET(B1, COUNTA(B:B)-7, 0, 7))</f>
        <v>75.3</v>
      </c>
      <c r="K4" s="8" t="n">
        <f aca="false">INDEX(A:A, COUNTA(B:B)-7+ROW())</f>
        <v>46103</v>
      </c>
      <c r="L4" s="9" t="n">
        <f aca="false">INDEX(B:B, COUNTA(B:B)-7+ROW())</f>
        <v>76.6</v>
      </c>
      <c r="M4" s="10" t="n">
        <f aca="false">INDEX(G:G, COUNTA(B:B)-7+ROW())</f>
        <v>75.925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75.4857142857143</v>
      </c>
      <c r="K5" s="8" t="n">
        <f aca="false">INDEX(A:A, COUNTA(B:B)-7+ROW())</f>
        <v>46104</v>
      </c>
      <c r="L5" s="9" t="n">
        <f aca="false">INDEX(B:B, COUNTA(B:B)-7+ROW())</f>
        <v>75.7</v>
      </c>
      <c r="M5" s="10" t="n">
        <f aca="false">INDEX(G:G, COUNTA(B:B)-7+ROW())</f>
        <v>75.775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46105</v>
      </c>
      <c r="L6" s="9" t="n">
        <f aca="false">INDEX(B:B, COUNTA(B:B)-7+ROW())</f>
        <v>75.2</v>
      </c>
      <c r="M6" s="10" t="n">
        <f aca="false">INDEX(G:G, COUNTA(B:B)-7+ROW())</f>
        <v>75.6375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4</v>
      </c>
      <c r="I7" s="3" t="n">
        <v>70</v>
      </c>
      <c r="K7" s="8" t="n">
        <f aca="false">INDEX(A:A, COUNTA(B:B)-7+ROW())</f>
        <v>46106</v>
      </c>
      <c r="L7" s="9" t="n">
        <f aca="false">INDEX(B:B, COUNTA(B:B)-7+ROW())</f>
        <v>75.1</v>
      </c>
      <c r="M7" s="10" t="n">
        <f aca="false">INDEX(G:G, COUNTA(B:B)-7+ROW())</f>
        <v>75.5375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5</v>
      </c>
      <c r="I10" s="1" t="s">
        <v>7</v>
      </c>
      <c r="J10" s="3" t="n">
        <f aca="false">((I5 - I7) * 7000) / J9</f>
        <v>38.4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5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B28" s="1" t="n">
        <v>76.8</v>
      </c>
      <c r="C28" s="11" t="n">
        <f aca="false">B28-B27</f>
        <v>-0.200000000000003</v>
      </c>
      <c r="D28" s="3" t="n">
        <f aca="false">B28*2.204623</f>
        <v>169.3150464</v>
      </c>
      <c r="E28" s="7" t="n">
        <f aca="false">C28*2.204623</f>
        <v>-0.440924600000006</v>
      </c>
      <c r="F28" s="4" t="n">
        <f aca="false">A28</f>
        <v>46090</v>
      </c>
      <c r="G28" s="7" t="n">
        <f aca="false">AVERAGE(B21:B28)</f>
        <v>76.8875</v>
      </c>
    </row>
    <row r="29" customFormat="false" ht="15" hidden="false" customHeight="false" outlineLevel="0" collapsed="false">
      <c r="A29" s="5" t="n">
        <v>46091</v>
      </c>
      <c r="B29" s="1" t="n">
        <v>76.4</v>
      </c>
      <c r="C29" s="11" t="n">
        <f aca="false">B29-B28</f>
        <v>-0.399999999999992</v>
      </c>
      <c r="D29" s="3" t="n">
        <f aca="false">B29*2.204623</f>
        <v>168.4331972</v>
      </c>
      <c r="E29" s="7" t="n">
        <f aca="false">C29*2.204623</f>
        <v>-0.881849199999981</v>
      </c>
      <c r="F29" s="4" t="n">
        <f aca="false">A29</f>
        <v>46091</v>
      </c>
      <c r="G29" s="7" t="n">
        <f aca="false">AVERAGE(B22:B29)</f>
        <v>76.8</v>
      </c>
    </row>
    <row r="30" customFormat="false" ht="15" hidden="false" customHeight="false" outlineLevel="0" collapsed="false">
      <c r="A30" s="5" t="n">
        <v>46092</v>
      </c>
      <c r="B30" s="1" t="n">
        <v>75.8</v>
      </c>
      <c r="C30" s="11" t="n">
        <f aca="false">B30-B29</f>
        <v>-0.600000000000009</v>
      </c>
      <c r="D30" s="3" t="n">
        <f aca="false">B30*2.204623</f>
        <v>167.1104234</v>
      </c>
      <c r="E30" s="7" t="n">
        <f aca="false">C30*2.204623</f>
        <v>-1.32277380000002</v>
      </c>
      <c r="F30" s="4" t="n">
        <f aca="false">A30</f>
        <v>46092</v>
      </c>
      <c r="G30" s="7" t="n">
        <f aca="false">AVERAGE(B23:B30)</f>
        <v>76.5</v>
      </c>
      <c r="L30" s="6"/>
    </row>
    <row r="31" customFormat="false" ht="15" hidden="false" customHeight="false" outlineLevel="0" collapsed="false">
      <c r="A31" s="5" t="n">
        <v>46093</v>
      </c>
      <c r="B31" s="1" t="n">
        <v>75.7</v>
      </c>
      <c r="C31" s="11" t="n">
        <f aca="false">B31-B30</f>
        <v>-0.0999999999999943</v>
      </c>
      <c r="D31" s="3" t="n">
        <f aca="false">B31*2.204623</f>
        <v>166.8899611</v>
      </c>
      <c r="E31" s="7" t="n">
        <f aca="false">C31*2.204623</f>
        <v>-0.220462299999987</v>
      </c>
      <c r="F31" s="4" t="n">
        <f aca="false">A31</f>
        <v>46093</v>
      </c>
      <c r="G31" s="7" t="n">
        <f aca="false">AVERAGE(B24:B31)</f>
        <v>76.2375</v>
      </c>
    </row>
    <row r="32" customFormat="false" ht="15" hidden="false" customHeight="false" outlineLevel="0" collapsed="false">
      <c r="A32" s="5" t="n">
        <v>46094</v>
      </c>
      <c r="B32" s="1" t="n">
        <v>75.3</v>
      </c>
      <c r="C32" s="11" t="n">
        <f aca="false">B32-B31</f>
        <v>-0.400000000000006</v>
      </c>
      <c r="D32" s="3" t="n">
        <f aca="false">B32*2.204623</f>
        <v>166.0081119</v>
      </c>
      <c r="E32" s="7" t="n">
        <f aca="false">C32*2.204623</f>
        <v>-0.881849200000013</v>
      </c>
      <c r="F32" s="4" t="n">
        <f aca="false">A32</f>
        <v>46094</v>
      </c>
      <c r="G32" s="7" t="n">
        <f aca="false">AVERAGE(B25:B32)</f>
        <v>76.1</v>
      </c>
    </row>
    <row r="33" customFormat="false" ht="15" hidden="false" customHeight="false" outlineLevel="0" collapsed="false">
      <c r="A33" s="5" t="n">
        <v>46095</v>
      </c>
      <c r="B33" s="1" t="n">
        <v>74.8</v>
      </c>
      <c r="C33" s="11" t="n">
        <f aca="false">B33-B32</f>
        <v>-0.5</v>
      </c>
      <c r="D33" s="3" t="n">
        <f aca="false">B33*2.204623</f>
        <v>164.9058004</v>
      </c>
      <c r="E33" s="7" t="n">
        <f aca="false">C33*2.204623</f>
        <v>-1.1023115</v>
      </c>
      <c r="F33" s="4" t="n">
        <f aca="false">A33</f>
        <v>46095</v>
      </c>
      <c r="G33" s="7" t="n">
        <f aca="false">AVERAGE(B26:B33)</f>
        <v>75.95</v>
      </c>
      <c r="H33" s="1" t="s">
        <v>5</v>
      </c>
    </row>
    <row r="34" customFormat="false" ht="15" hidden="false" customHeight="false" outlineLevel="0" collapsed="false">
      <c r="A34" s="5" t="n">
        <v>46096</v>
      </c>
      <c r="B34" s="1" t="n">
        <v>76.9</v>
      </c>
      <c r="C34" s="11" t="n">
        <f aca="false">B34-B33</f>
        <v>2.10000000000001</v>
      </c>
      <c r="D34" s="3" t="n">
        <f aca="false">B34*2.204623</f>
        <v>169.5355087</v>
      </c>
      <c r="E34" s="7" t="n">
        <f aca="false">C34*2.204623</f>
        <v>4.62970830000002</v>
      </c>
      <c r="F34" s="4" t="n">
        <f aca="false">A34</f>
        <v>46096</v>
      </c>
      <c r="G34" s="7" t="n">
        <f aca="false">AVERAGE(B27:B34)</f>
        <v>76.0875</v>
      </c>
    </row>
    <row r="35" customFormat="false" ht="15" hidden="false" customHeight="false" outlineLevel="0" collapsed="false">
      <c r="A35" s="5" t="n">
        <v>46097</v>
      </c>
      <c r="B35" s="1" t="n">
        <v>76.3</v>
      </c>
      <c r="C35" s="11" t="n">
        <f aca="false">B35-B34</f>
        <v>-0.600000000000009</v>
      </c>
      <c r="D35" s="3" t="n">
        <f aca="false">B35*2.204623</f>
        <v>168.2127349</v>
      </c>
      <c r="E35" s="7" t="n">
        <f aca="false">C35*2.204623</f>
        <v>-1.32277380000002</v>
      </c>
      <c r="F35" s="4" t="n">
        <f aca="false">A35</f>
        <v>46097</v>
      </c>
      <c r="G35" s="7" t="n">
        <f aca="false">AVERAGE(B28:B35)</f>
        <v>76</v>
      </c>
    </row>
    <row r="36" customFormat="false" ht="15" hidden="false" customHeight="false" outlineLevel="0" collapsed="false">
      <c r="A36" s="5" t="n">
        <v>46098</v>
      </c>
      <c r="B36" s="1" t="n">
        <v>75.9</v>
      </c>
      <c r="C36" s="11" t="n">
        <f aca="false">B36-B35</f>
        <v>-0.399999999999992</v>
      </c>
      <c r="D36" s="3" t="n">
        <f aca="false">B36*2.204623</f>
        <v>167.3308857</v>
      </c>
      <c r="E36" s="7" t="n">
        <f aca="false">C36*2.204623</f>
        <v>-0.881849199999981</v>
      </c>
      <c r="F36" s="4" t="n">
        <f aca="false">A36</f>
        <v>46098</v>
      </c>
      <c r="G36" s="7" t="n">
        <f aca="false">AVERAGE(B29:B36)</f>
        <v>75.8875</v>
      </c>
    </row>
    <row r="37" customFormat="false" ht="15" hidden="false" customHeight="false" outlineLevel="0" collapsed="false">
      <c r="A37" s="5" t="n">
        <v>46099</v>
      </c>
      <c r="B37" s="1" t="n">
        <v>75.9</v>
      </c>
      <c r="C37" s="11" t="n">
        <f aca="false">B37-B36</f>
        <v>0</v>
      </c>
      <c r="D37" s="3" t="n">
        <f aca="false">B37*2.204623</f>
        <v>167.3308857</v>
      </c>
      <c r="E37" s="7" t="n">
        <f aca="false">C37*2.204623</f>
        <v>0</v>
      </c>
      <c r="F37" s="4" t="n">
        <f aca="false">A37</f>
        <v>46099</v>
      </c>
      <c r="G37" s="7" t="n">
        <f aca="false">AVERAGE(B30:B37)</f>
        <v>75.825</v>
      </c>
    </row>
    <row r="38" customFormat="false" ht="15" hidden="false" customHeight="false" outlineLevel="0" collapsed="false">
      <c r="A38" s="5" t="n">
        <v>46100</v>
      </c>
      <c r="B38" s="1" t="n">
        <v>75.5</v>
      </c>
      <c r="C38" s="11" t="n">
        <f aca="false">B38-B37</f>
        <v>-0.400000000000006</v>
      </c>
      <c r="D38" s="3" t="n">
        <f aca="false">B38*2.204623</f>
        <v>166.4490365</v>
      </c>
      <c r="E38" s="7" t="n">
        <f aca="false">C38*2.204623</f>
        <v>-0.881849200000013</v>
      </c>
      <c r="F38" s="4" t="n">
        <f aca="false">A38</f>
        <v>46100</v>
      </c>
      <c r="G38" s="7" t="n">
        <f aca="false">AVERAGE(B31:B38)</f>
        <v>75.7875</v>
      </c>
    </row>
    <row r="39" customFormat="false" ht="15" hidden="false" customHeight="false" outlineLevel="0" collapsed="false">
      <c r="A39" s="5" t="n">
        <v>46101</v>
      </c>
      <c r="B39" s="1" t="n">
        <v>75</v>
      </c>
      <c r="C39" s="11" t="n">
        <f aca="false">B39-B38</f>
        <v>-0.5</v>
      </c>
      <c r="D39" s="3" t="n">
        <f aca="false">B39*2.204623</f>
        <v>165.346725</v>
      </c>
      <c r="E39" s="7" t="n">
        <f aca="false">C39*2.204623</f>
        <v>-1.1023115</v>
      </c>
      <c r="F39" s="4" t="n">
        <f aca="false">A39</f>
        <v>46101</v>
      </c>
      <c r="G39" s="7" t="n">
        <f aca="false">AVERAGE(B32:B39)</f>
        <v>75.7</v>
      </c>
    </row>
    <row r="40" customFormat="false" ht="15" hidden="false" customHeight="false" outlineLevel="0" collapsed="false">
      <c r="A40" s="5" t="n">
        <v>46102</v>
      </c>
      <c r="B40" s="1" t="n">
        <v>75.3</v>
      </c>
      <c r="C40" s="11" t="n">
        <f aca="false">B40-B39</f>
        <v>0.299999999999997</v>
      </c>
      <c r="D40" s="3" t="n">
        <f aca="false">B40*2.204623</f>
        <v>166.0081119</v>
      </c>
      <c r="E40" s="7" t="n">
        <f aca="false">C40*2.204623</f>
        <v>0.661386899999994</v>
      </c>
      <c r="F40" s="4" t="n">
        <f aca="false">A40</f>
        <v>46102</v>
      </c>
      <c r="G40" s="7" t="n">
        <f aca="false">AVERAGE(B33:B40)</f>
        <v>75.7</v>
      </c>
      <c r="H40" s="1" t="s">
        <v>5</v>
      </c>
    </row>
    <row r="41" customFormat="false" ht="15" hidden="false" customHeight="false" outlineLevel="0" collapsed="false">
      <c r="A41" s="5" t="n">
        <v>46103</v>
      </c>
      <c r="B41" s="1" t="n">
        <v>76.6</v>
      </c>
      <c r="C41" s="11" t="n">
        <f aca="false">B41-B40</f>
        <v>1.3</v>
      </c>
      <c r="D41" s="3" t="n">
        <f aca="false">B41*2.204623</f>
        <v>168.8741218</v>
      </c>
      <c r="E41" s="7" t="n">
        <f aca="false">C41*2.204623</f>
        <v>2.86600989999999</v>
      </c>
      <c r="F41" s="4" t="n">
        <f aca="false">A41</f>
        <v>46103</v>
      </c>
      <c r="G41" s="7" t="n">
        <f aca="false">AVERAGE(B34:B41)</f>
        <v>75.925</v>
      </c>
    </row>
    <row r="42" customFormat="false" ht="15" hidden="false" customHeight="false" outlineLevel="0" collapsed="false">
      <c r="A42" s="5" t="n">
        <v>46104</v>
      </c>
      <c r="B42" s="1" t="n">
        <v>75.7</v>
      </c>
      <c r="C42" s="11" t="n">
        <f aca="false">B42-B41</f>
        <v>-0.899999999999992</v>
      </c>
      <c r="D42" s="3" t="n">
        <f aca="false">B42*2.204623</f>
        <v>166.8899611</v>
      </c>
      <c r="E42" s="7" t="n">
        <f aca="false">C42*2.204623</f>
        <v>-1.98416069999998</v>
      </c>
      <c r="F42" s="4" t="n">
        <f aca="false">A42</f>
        <v>46104</v>
      </c>
      <c r="G42" s="7" t="n">
        <f aca="false">AVERAGE(B35:B42)</f>
        <v>75.775</v>
      </c>
    </row>
    <row r="43" customFormat="false" ht="15" hidden="false" customHeight="false" outlineLevel="0" collapsed="false">
      <c r="A43" s="5" t="n">
        <v>46105</v>
      </c>
      <c r="B43" s="1" t="n">
        <v>75.2</v>
      </c>
      <c r="C43" s="11" t="n">
        <f aca="false">B43-B42</f>
        <v>-0.5</v>
      </c>
      <c r="D43" s="3" t="n">
        <f aca="false">B43*2.204623</f>
        <v>165.7876496</v>
      </c>
      <c r="E43" s="7" t="n">
        <f aca="false">C43*2.204623</f>
        <v>-1.1023115</v>
      </c>
      <c r="F43" s="4" t="n">
        <f aca="false">A43</f>
        <v>46105</v>
      </c>
      <c r="G43" s="7" t="n">
        <f aca="false">AVERAGE(B36:B43)</f>
        <v>75.6375</v>
      </c>
    </row>
    <row r="44" customFormat="false" ht="15" hidden="false" customHeight="false" outlineLevel="0" collapsed="false">
      <c r="A44" s="5" t="n">
        <v>46106</v>
      </c>
      <c r="B44" s="1" t="n">
        <v>75.1</v>
      </c>
      <c r="C44" s="11" t="n">
        <f aca="false">B44-B43</f>
        <v>-0.100000000000009</v>
      </c>
      <c r="D44" s="3" t="n">
        <f aca="false">B44*2.204623</f>
        <v>165.5671873</v>
      </c>
      <c r="E44" s="7" t="n">
        <f aca="false">C44*2.204623</f>
        <v>-0.220462300000019</v>
      </c>
      <c r="F44" s="4" t="n">
        <f aca="false">A44</f>
        <v>46106</v>
      </c>
      <c r="G44" s="7" t="n">
        <f aca="false">AVERAGE(B37:B44)</f>
        <v>75.5375</v>
      </c>
    </row>
    <row r="45" customFormat="false" ht="15" hidden="false" customHeight="false" outlineLevel="0" collapsed="false">
      <c r="A45" s="5" t="n">
        <v>46107</v>
      </c>
      <c r="C45" s="11" t="n">
        <f aca="false">B45-B44</f>
        <v>-75.1</v>
      </c>
      <c r="D45" s="3" t="n">
        <f aca="false">B45*2.204623</f>
        <v>0</v>
      </c>
      <c r="E45" s="7" t="n">
        <f aca="false">C45*2.204623</f>
        <v>-165.5671873</v>
      </c>
      <c r="F45" s="4" t="n">
        <f aca="false">A45</f>
        <v>46107</v>
      </c>
      <c r="G45" s="7" t="n">
        <f aca="false">AVERAGE(B38:B45)</f>
        <v>75.4857142857143</v>
      </c>
    </row>
    <row r="46" customFormat="false" ht="15" hidden="false" customHeight="false" outlineLevel="0" collapsed="false">
      <c r="A46" s="5" t="n">
        <v>46108</v>
      </c>
      <c r="C46" s="11" t="n">
        <f aca="false">B46-B45</f>
        <v>0</v>
      </c>
      <c r="D46" s="3" t="n">
        <f aca="false">B46*2.204623</f>
        <v>0</v>
      </c>
      <c r="E46" s="7" t="n">
        <f aca="false">C46*2.204623</f>
        <v>0</v>
      </c>
      <c r="F46" s="4" t="n">
        <f aca="false">A46</f>
        <v>46108</v>
      </c>
      <c r="G46" s="7" t="n">
        <f aca="false">AVERAGE(B39:B46)</f>
        <v>75.4833333333333</v>
      </c>
    </row>
    <row r="47" customFormat="false" ht="15" hidden="false" customHeight="false" outlineLevel="0" collapsed="false">
      <c r="A47" s="5" t="n">
        <v>46109</v>
      </c>
      <c r="C47" s="11" t="n">
        <f aca="false">B47-B46</f>
        <v>0</v>
      </c>
      <c r="D47" s="3" t="n">
        <f aca="false">B47*2.204623</f>
        <v>0</v>
      </c>
      <c r="E47" s="7" t="n">
        <f aca="false">C47*2.204623</f>
        <v>0</v>
      </c>
      <c r="F47" s="4" t="n">
        <f aca="false">A47</f>
        <v>46109</v>
      </c>
      <c r="G47" s="7" t="n">
        <f aca="false">AVERAGE(B40:B47)</f>
        <v>75.58</v>
      </c>
    </row>
    <row r="48" customFormat="false" ht="15" hidden="false" customHeight="false" outlineLevel="0" collapsed="false">
      <c r="A48" s="5" t="n">
        <v>46110</v>
      </c>
      <c r="C48" s="11" t="n">
        <f aca="false">B48-B47</f>
        <v>0</v>
      </c>
      <c r="D48" s="3" t="n">
        <f aca="false">B48*2.204623</f>
        <v>0</v>
      </c>
      <c r="E48" s="7" t="n">
        <f aca="false">C48*2.204623</f>
        <v>0</v>
      </c>
      <c r="F48" s="4" t="n">
        <f aca="false">A48</f>
        <v>46110</v>
      </c>
      <c r="G48" s="7" t="n">
        <f aca="false">AVERAGE(B41:B48)</f>
        <v>75.65</v>
      </c>
    </row>
    <row r="49" customFormat="false" ht="15" hidden="false" customHeight="false" outlineLevel="0" collapsed="false">
      <c r="A49" s="5" t="n">
        <v>46111</v>
      </c>
      <c r="C49" s="11" t="n">
        <f aca="false">B49-B48</f>
        <v>0</v>
      </c>
      <c r="D49" s="3" t="n">
        <f aca="false">B49*2.204623</f>
        <v>0</v>
      </c>
      <c r="E49" s="7" t="n">
        <f aca="false">C49*2.204623</f>
        <v>0</v>
      </c>
      <c r="F49" s="4" t="n">
        <f aca="false">A49</f>
        <v>46111</v>
      </c>
      <c r="G49" s="7" t="n">
        <f aca="false">AVERAGE(B42:B49)</f>
        <v>75.3333333333333</v>
      </c>
    </row>
    <row r="50" customFormat="false" ht="15" hidden="false" customHeight="true" outlineLevel="0" collapsed="false">
      <c r="A50" s="5" t="n">
        <v>46112</v>
      </c>
      <c r="C50" s="11" t="n">
        <f aca="false">B50-B49</f>
        <v>0</v>
      </c>
      <c r="D50" s="3" t="n">
        <f aca="false">B50*2.204623</f>
        <v>0</v>
      </c>
      <c r="E50" s="7" t="n">
        <f aca="false">C50*2.204623</f>
        <v>0</v>
      </c>
      <c r="F50" s="4" t="n">
        <f aca="false">A50</f>
        <v>46112</v>
      </c>
      <c r="G50" s="7" t="n">
        <f aca="false">AVERAGE(B43:B50)</f>
        <v>75.15</v>
      </c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23" colorId="64" zoomScale="85" zoomScaleNormal="85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1758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cp:lastPrinted>2026-03-11T09:57:12Z</cp:lastPrinted>
  <dcterms:modified xsi:type="dcterms:W3CDTF">2026-03-25T08:28:33Z</dcterms:modified>
  <cp:revision>161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