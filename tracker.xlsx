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<sst xmlns="http://schemas.openxmlformats.org/spreadsheetml/2006/main" count="19" uniqueCount="11">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</sst>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166387493021"/>
          <c:y val="0.0667099379777874"/>
          <c:w val="0.705471803461753"/>
          <c:h val="0.858070099524016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78.4</c:v>
                </c:pt>
                <c:pt idx="1">
                  <c:v>79.3</c:v>
                </c:pt>
                <c:pt idx="2">
                  <c:v>78.7</c:v>
                </c:pt>
                <c:pt idx="3">
                  <c:v>77.7</c:v>
                </c:pt>
                <c:pt idx="4">
                  <c:v>77.5</c:v>
                </c:pt>
                <c:pt idx="5">
                  <c:v>77.1</c:v>
                </c:pt>
                <c:pt idx="6">
                  <c:v>76.5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78.1428571428571</c:v>
                </c:pt>
                <c:pt idx="1">
                  <c:v>77.8857142857143</c:v>
                </c:pt>
                <c:pt idx="2">
                  <c:v>77.8</c:v>
                </c:pt>
                <c:pt idx="3">
                  <c:v>77.5</c:v>
                </c:pt>
                <c:pt idx="4">
                  <c:v>77.2</c:v>
                </c:pt>
                <c:pt idx="5">
                  <c:v>77.0333333333333</c:v>
                </c:pt>
                <c:pt idx="6">
                  <c:v>76.8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320361"/>
        <c:axId val="10013068"/>
      </c:lineChart>
      <c:catAx>
        <c:axId val="33320361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0013068"/>
        <c:crossesAt val="0"/>
        <c:auto val="1"/>
        <c:lblAlgn val="ctr"/>
        <c:lblOffset val="100"/>
        <c:noMultiLvlLbl val="0"/>
      </c:catAx>
      <c:valAx>
        <c:axId val="100130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332036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739332743939"/>
          <c:y val="0.0667099379777874"/>
          <c:w val="0.705504629845052"/>
          <c:h val="0.858070099524016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234386"/>
        <c:axId val="36221079"/>
      </c:lineChart>
      <c:catAx>
        <c:axId val="85234386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6221079"/>
        <c:crosses val="autoZero"/>
        <c:auto val="1"/>
        <c:lblAlgn val="ctr"/>
        <c:lblOffset val="100"/>
        <c:noMultiLvlLbl val="0"/>
      </c:catAx>
      <c:valAx>
        <c:axId val="362210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523438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684000</xdr:colOff>
      <xdr:row>39</xdr:row>
      <xdr:rowOff>180000</xdr:rowOff>
    </xdr:to>
    <xdr:graphicFrame>
      <xdr:nvGraphicFramePr>
        <xdr:cNvPr id="1" name=""/>
        <xdr:cNvGraphicFramePr/>
      </xdr:nvGraphicFramePr>
      <xdr:xfrm>
        <a:off x="11475360" y="2618280"/>
        <a:ext cx="7736760" cy="499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70920</xdr:colOff>
      <xdr:row>35</xdr:row>
      <xdr:rowOff>360</xdr:rowOff>
    </xdr:to>
    <xdr:graphicFrame>
      <xdr:nvGraphicFramePr>
        <xdr:cNvPr id="2" name=""/>
        <xdr:cNvGraphicFramePr/>
      </xdr:nvGraphicFramePr>
      <xdr:xfrm>
        <a:off x="9101160" y="1676520"/>
        <a:ext cx="7736400" cy="499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46074</v>
      </c>
      <c r="L1" s="9" t="n">
        <f aca="false">INDEX(B:B, COUNTA(B:B)-7+ROW())</f>
        <v>78.4</v>
      </c>
      <c r="M1" s="10" t="n">
        <f aca="false">INDEX(G:G, COUNTA(B:B)-7+ROW())</f>
        <v>78.1428571428571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46075</v>
      </c>
      <c r="L2" s="9" t="n">
        <f aca="false">INDEX(B:B, COUNTA(B:B)-7+ROW())</f>
        <v>79.3</v>
      </c>
      <c r="M2" s="10" t="n">
        <f aca="false">INDEX(G:G, COUNTA(B:B)-7+ROW())</f>
        <v>77.8857142857143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46076</v>
      </c>
      <c r="L3" s="9" t="n">
        <f aca="false">INDEX(B:B, COUNTA(B:B)-7+ROW())</f>
        <v>78.7</v>
      </c>
      <c r="M3" s="10" t="n">
        <f aca="false">INDEX(G:G, COUNTA(B:B)-7+ROW())</f>
        <v>77.8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77.7</v>
      </c>
      <c r="K4" s="8" t="n">
        <f aca="false">INDEX(A:A, COUNTA(B:B)-7+ROW())</f>
        <v>46077</v>
      </c>
      <c r="L4" s="9" t="n">
        <f aca="false">INDEX(B:B, COUNTA(B:B)-7+ROW())</f>
        <v>77.7</v>
      </c>
      <c r="M4" s="10" t="n">
        <f aca="false">INDEX(G:G, COUNTA(B:B)-7+ROW())</f>
        <v>77.5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77.8857142857143</v>
      </c>
      <c r="K5" s="8" t="n">
        <f aca="false">INDEX(A:A, COUNTA(B:B)-7+ROW())</f>
        <v>46078</v>
      </c>
      <c r="L5" s="9" t="n">
        <f aca="false">INDEX(B:B, COUNTA(B:B)-7+ROW())</f>
        <v>77.5</v>
      </c>
      <c r="M5" s="10" t="n">
        <f aca="false">INDEX(G:G, COUNTA(B:B)-7+ROW())</f>
        <v>77.2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77.0428571428571</v>
      </c>
      <c r="H6" s="6"/>
      <c r="K6" s="8" t="n">
        <f aca="false">INDEX(A:A, COUNTA(B:B)-7+ROW())</f>
        <v>46079</v>
      </c>
      <c r="L6" s="9" t="n">
        <f aca="false">INDEX(B:B, COUNTA(B:B)-7+ROW())</f>
        <v>77.1</v>
      </c>
      <c r="M6" s="10" t="n">
        <f aca="false">INDEX(G:G, COUNTA(B:B)-7+ROW())</f>
        <v>77.0333333333333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77.3</v>
      </c>
      <c r="H7" s="6" t="s">
        <v>4</v>
      </c>
      <c r="I7" s="3" t="n">
        <v>70</v>
      </c>
      <c r="K7" s="8" t="n">
        <f aca="false">INDEX(A:A, COUNTA(B:B)-7+ROW())</f>
        <v>46080</v>
      </c>
      <c r="L7" s="9" t="n">
        <f aca="false">INDEX(B:B, COUNTA(B:B)-7+ROW())</f>
        <v>76.5</v>
      </c>
      <c r="M7" s="10" t="n">
        <f aca="false">INDEX(G:G, COUNTA(B:B)-7+ROW())</f>
        <v>76.8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77.6857142857143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78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78.1714285714286</v>
      </c>
      <c r="H10" s="6" t="s">
        <v>5</v>
      </c>
      <c r="I10" s="1" t="s">
        <v>7</v>
      </c>
      <c r="J10" s="3" t="n">
        <f aca="false">((I5 - I7) * 7000) / J9</f>
        <v>55.2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AVERAGE(B10:B16)</f>
        <v>78.3428571428571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AVERAGE(B11:B17)</f>
        <v>78.1428571428571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AVERAGE(B12:B18)</f>
        <v>77.8857142857143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AVERAGE(B13:B19)</f>
        <v>77.8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AVERAGE(B14:B20)</f>
        <v>77.5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AVERAGE(B15:B21)</f>
        <v>77.2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AVERAGE(B16:B22)</f>
        <v>77.0333333333333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AVERAGE(B17:B23)</f>
        <v>76.8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-76.5</v>
      </c>
      <c r="D19" s="3" t="n">
        <f aca="false">B19*2.204623</f>
        <v>0</v>
      </c>
      <c r="E19" s="7" t="n">
        <f aca="false">C19*2.204623</f>
        <v>-168.6536595</v>
      </c>
      <c r="F19" s="4" t="n">
        <f aca="false">A19</f>
        <v>46081</v>
      </c>
      <c r="G19" s="7" t="n">
        <f aca="false">AVERAGE(B18:B24)</f>
        <v>76.5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8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9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10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1721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2026-02-27T11:10:12Z</dcterms:modified>
  <cp:revision>127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