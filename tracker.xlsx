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<sst xmlns="http://schemas.openxmlformats.org/spreadsheetml/2006/main" count="19" uniqueCount="11">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</sst>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860465116279"/>
          <c:y val="0.0666714718177887"/>
          <c:w val="0.705581395348837"/>
          <c:h val="0.858728557013118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76.6</c:v>
                </c:pt>
                <c:pt idx="1">
                  <c:v>76.5</c:v>
                </c:pt>
                <c:pt idx="2">
                  <c:v>76.5</c:v>
                </c:pt>
                <c:pt idx="3">
                  <c:v>76.3</c:v>
                </c:pt>
                <c:pt idx="4">
                  <c:v>78.5</c:v>
                </c:pt>
                <c:pt idx="5">
                  <c:v>78.3</c:v>
                </c:pt>
                <c:pt idx="6">
                  <c:v>78.4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77.0428571428571</c:v>
                </c:pt>
                <c:pt idx="1">
                  <c:v>77.3</c:v>
                </c:pt>
                <c:pt idx="2">
                  <c:v>77.4166666666667</c:v>
                </c:pt>
                <c:pt idx="3">
                  <c:v>77.6</c:v>
                </c:pt>
                <c:pt idx="4">
                  <c:v>77.875</c:v>
                </c:pt>
                <c:pt idx="5">
                  <c:v>78.4</c:v>
                </c:pt>
                <c:pt idx="6">
                  <c:v>78.35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855949"/>
        <c:axId val="68567502"/>
      </c:lineChart>
      <c:catAx>
        <c:axId val="51855949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8567502"/>
        <c:crossesAt val="0"/>
        <c:auto val="1"/>
        <c:lblAlgn val="ctr"/>
        <c:lblOffset val="100"/>
        <c:noMultiLvlLbl val="0"/>
      </c:catAx>
      <c:valAx>
        <c:axId val="6856750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185594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433555049072"/>
          <c:y val="0.0666714718177887"/>
          <c:w val="0.705614214614633"/>
          <c:h val="0.858728557013118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824734"/>
        <c:axId val="61432726"/>
      </c:lineChart>
      <c:catAx>
        <c:axId val="49824734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1432726"/>
        <c:crosses val="autoZero"/>
        <c:auto val="1"/>
        <c:lblAlgn val="ctr"/>
        <c:lblOffset val="100"/>
        <c:noMultiLvlLbl val="0"/>
      </c:catAx>
      <c:valAx>
        <c:axId val="614327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982473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686880</xdr:colOff>
      <xdr:row>39</xdr:row>
      <xdr:rowOff>182880</xdr:rowOff>
    </xdr:to>
    <xdr:graphicFrame>
      <xdr:nvGraphicFramePr>
        <xdr:cNvPr id="1" name=""/>
        <xdr:cNvGraphicFramePr/>
      </xdr:nvGraphicFramePr>
      <xdr:xfrm>
        <a:off x="11475360" y="2618280"/>
        <a:ext cx="7739640" cy="4994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73800</xdr:colOff>
      <xdr:row>35</xdr:row>
      <xdr:rowOff>3240</xdr:rowOff>
    </xdr:to>
    <xdr:graphicFrame>
      <xdr:nvGraphicFramePr>
        <xdr:cNvPr id="2" name=""/>
        <xdr:cNvGraphicFramePr/>
      </xdr:nvGraphicFramePr>
      <xdr:xfrm>
        <a:off x="9101160" y="1676520"/>
        <a:ext cx="7739280" cy="4994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B1" colorId="64" zoomScale="90" zoomScaleNormal="90" zoomScalePageLayoutView="100" workbookViewId="0">
      <selection pane="topLeft" activeCell="H13" activeCellId="0" sqref="H13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46068</v>
      </c>
      <c r="L1" s="9" t="n">
        <f aca="false">INDEX(B:B, COUNTA(B:B)-7+ROW())</f>
        <v>76.6</v>
      </c>
      <c r="M1" s="10" t="n">
        <f aca="false">INDEX(G:G, COUNTA(B:B)-7+ROW())</f>
        <v>77.0428571428571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77.5142857142857</v>
      </c>
      <c r="K2" s="8" t="n">
        <f aca="false">INDEX(A:A, COUNTA(B:B)-7+ROW())</f>
        <v>46069</v>
      </c>
      <c r="L2" s="9" t="n">
        <f aca="false">INDEX(B:B, COUNTA(B:B)-7+ROW())</f>
        <v>76.5</v>
      </c>
      <c r="M2" s="10" t="n">
        <f aca="false">INDEX(G:G, COUNTA(B:B)-7+ROW())</f>
        <v>77.3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77.1142857142857</v>
      </c>
      <c r="K3" s="8" t="n">
        <f aca="false">INDEX(A:A, COUNTA(B:B)-7+ROW())</f>
        <v>46070</v>
      </c>
      <c r="L3" s="9" t="n">
        <f aca="false">INDEX(B:B, COUNTA(B:B)-7+ROW())</f>
        <v>76.5</v>
      </c>
      <c r="M3" s="10" t="n">
        <f aca="false">INDEX(G:G, COUNTA(B:B)-7+ROW())</f>
        <v>77.4166666666667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76.7714285714286</v>
      </c>
      <c r="H4" s="6" t="s">
        <v>3</v>
      </c>
      <c r="I4" s="12" t="n">
        <f aca="true">MEDIAN(OFFSET(B1, COUNTA(B:B)-7, 0, 7))</f>
        <v>76.6</v>
      </c>
      <c r="K4" s="8" t="n">
        <f aca="false">INDEX(A:A, COUNTA(B:B)-7+ROW())</f>
        <v>46071</v>
      </c>
      <c r="L4" s="9" t="n">
        <f aca="false">INDEX(B:B, COUNTA(B:B)-7+ROW())</f>
        <v>76.3</v>
      </c>
      <c r="M4" s="10" t="n">
        <f aca="false">INDEX(G:G, COUNTA(B:B)-7+ROW())</f>
        <v>77.6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76.8714285714286</v>
      </c>
      <c r="H5" s="1" t="s">
        <v>0</v>
      </c>
      <c r="I5" s="12" t="n">
        <f aca="true">AVERAGE(OFFSET(B1, COUNTA(B:B)-7, 0, 7))</f>
        <v>77.3</v>
      </c>
      <c r="K5" s="8" t="n">
        <f aca="false">INDEX(A:A, COUNTA(B:B)-7+ROW())</f>
        <v>46072</v>
      </c>
      <c r="L5" s="9" t="n">
        <f aca="false">INDEX(B:B, COUNTA(B:B)-7+ROW())</f>
        <v>78.5</v>
      </c>
      <c r="M5" s="10" t="n">
        <f aca="false">INDEX(G:G, COUNTA(B:B)-7+ROW())</f>
        <v>77.875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77.0428571428571</v>
      </c>
      <c r="H6" s="6"/>
      <c r="K6" s="8" t="n">
        <f aca="false">INDEX(A:A, COUNTA(B:B)-7+ROW())</f>
        <v>46073</v>
      </c>
      <c r="L6" s="9" t="n">
        <f aca="false">INDEX(B:B, COUNTA(B:B)-7+ROW())</f>
        <v>78.3</v>
      </c>
      <c r="M6" s="10" t="n">
        <f aca="false">INDEX(G:G, COUNTA(B:B)-7+ROW())</f>
        <v>78.4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 t="n">
        <f aca="false">AVERAGE(B6:B12)</f>
        <v>77.3</v>
      </c>
      <c r="H7" s="6" t="s">
        <v>4</v>
      </c>
      <c r="I7" s="3" t="n">
        <v>70</v>
      </c>
      <c r="K7" s="8" t="n">
        <f aca="false">INDEX(A:A, COUNTA(B:B)-7+ROW())</f>
        <v>46074</v>
      </c>
      <c r="L7" s="9" t="n">
        <f aca="false">INDEX(B:B, COUNTA(B:B)-7+ROW())</f>
        <v>78.4</v>
      </c>
      <c r="M7" s="10" t="n">
        <f aca="false">INDEX(G:G, COUNTA(B:B)-7+ROW())</f>
        <v>78.35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 t="n">
        <f aca="false">AVERAGE(B7:B13)</f>
        <v>77.4166666666667</v>
      </c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AVERAGE(B8:B14)</f>
        <v>77.6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AVERAGE(B9:B15)</f>
        <v>77.875</v>
      </c>
      <c r="H10" s="6" t="s">
        <v>5</v>
      </c>
      <c r="I10" s="1" t="s">
        <v>7</v>
      </c>
      <c r="J10" s="3" t="n">
        <f aca="false">((I5 - I7) * 7000) / J9</f>
        <v>51.1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AVERAGE(B10:B16)</f>
        <v>78.4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AVERAGE(B11:B17)</f>
        <v>78.35</v>
      </c>
      <c r="H12" s="1" t="s">
        <v>5</v>
      </c>
    </row>
    <row r="13" customFormat="false" ht="15" hidden="false" customHeight="false" outlineLevel="0" collapsed="false">
      <c r="A13" s="5" t="n">
        <v>46075</v>
      </c>
      <c r="C13" s="11" t="n">
        <f aca="false">B13-B12</f>
        <v>-78.4</v>
      </c>
      <c r="D13" s="3" t="n">
        <f aca="false">B13*2.204623</f>
        <v>0</v>
      </c>
      <c r="E13" s="7" t="n">
        <f aca="false">C13*2.204623</f>
        <v>-172.8424432</v>
      </c>
      <c r="F13" s="4" t="n">
        <f aca="false">A13</f>
        <v>46075</v>
      </c>
      <c r="G13" s="7" t="n">
        <f aca="false">AVERAGE(B12:B18)</f>
        <v>78.4</v>
      </c>
    </row>
    <row r="14" customFormat="false" ht="15" hidden="false" customHeight="false" outlineLevel="0" collapsed="false">
      <c r="A14" s="5" t="n">
        <v>46076</v>
      </c>
      <c r="C14" s="11" t="n">
        <f aca="false">B14-B13</f>
        <v>0</v>
      </c>
      <c r="D14" s="3" t="n">
        <f aca="false">B14*2.204623</f>
        <v>0</v>
      </c>
      <c r="E14" s="7" t="n">
        <f aca="false">C14*2.204623</f>
        <v>0</v>
      </c>
      <c r="F14" s="4" t="n">
        <f aca="false">A14</f>
        <v>46076</v>
      </c>
      <c r="G14" s="7" t="e">
        <f aca="false">AVERAGE(B13:B19)</f>
        <v>#DIV/0!</v>
      </c>
    </row>
    <row r="15" customFormat="false" ht="15" hidden="false" customHeight="false" outlineLevel="0" collapsed="false">
      <c r="A15" s="5" t="n">
        <v>46077</v>
      </c>
      <c r="C15" s="11" t="n">
        <f aca="false">B15-B14</f>
        <v>0</v>
      </c>
      <c r="D15" s="3" t="n">
        <f aca="false">B15*2.204623</f>
        <v>0</v>
      </c>
      <c r="E15" s="7" t="n">
        <f aca="false">C15*2.204623</f>
        <v>0</v>
      </c>
      <c r="F15" s="4" t="n">
        <f aca="false">A15</f>
        <v>46077</v>
      </c>
      <c r="G15" s="7" t="e">
        <f aca="false">AVERAGE(B14:B20)</f>
        <v>#DIV/0!</v>
      </c>
    </row>
    <row r="16" customFormat="false" ht="15" hidden="false" customHeight="false" outlineLevel="0" collapsed="false">
      <c r="A16" s="5" t="n">
        <v>46078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46078</v>
      </c>
      <c r="G16" s="7" t="e">
        <f aca="false">AVERAGE(B15:B21)</f>
        <v>#DIV/0!</v>
      </c>
    </row>
    <row r="17" customFormat="false" ht="15" hidden="false" customHeight="false" outlineLevel="0" collapsed="false">
      <c r="A17" s="5" t="n">
        <v>46079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46079</v>
      </c>
      <c r="G17" s="7" t="e">
        <f aca="false">AVERAGE(B16:B22)</f>
        <v>#DIV/0!</v>
      </c>
    </row>
    <row r="18" customFormat="false" ht="15" hidden="false" customHeight="false" outlineLevel="0" collapsed="false">
      <c r="A18" s="5" t="n">
        <v>46080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46080</v>
      </c>
      <c r="G18" s="7" t="e">
        <f aca="false">AVERAGE(B17:B23)</f>
        <v>#DIV/0!</v>
      </c>
    </row>
    <row r="19" customFormat="false" ht="15" hidden="false" customHeight="false" outlineLevel="0" collapsed="false">
      <c r="A19" s="5" t="n">
        <v>46081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46081</v>
      </c>
      <c r="G19" s="7" t="e">
        <f aca="false">AVERAGE(B18:B24)</f>
        <v>#DIV/0!</v>
      </c>
    </row>
    <row r="20" customFormat="false" ht="15" hidden="false" customHeight="false" outlineLevel="0" collapsed="false">
      <c r="A20" s="5" t="n">
        <v>46082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46082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46083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8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9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10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1712</TotalTime>
  <Application>LibreOffice/26.2.0.3$Linux_X86_64 LibreOffice_project/f1632ca95bc60e4a160604f46a6d9de4857c31ac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2026-02-21T13:55:26Z</dcterms:modified>
  <cp:revision>119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