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<sst xmlns="http://schemas.openxmlformats.org/spreadsheetml/2006/main" count="19" uniqueCount="11">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</sst>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975159324557"/>
          <c:y val="0.0666858914281595"/>
          <c:w val="0.705540307949947"/>
          <c:h val="0.858481724461106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Wednesday</c:v>
                </c:pt>
                <c:pt idx="2">
                  <c:v>Thursday</c:v>
                </c:pt>
                <c:pt idx="3">
                  <c:v>Friday</c:v>
                </c:pt>
                <c:pt idx="4">
                  <c:v>Saturday</c:v>
                </c:pt>
                <c:pt idx="5">
                  <c:v>Sunday</c:v>
                </c:pt>
                <c:pt idx="6">
                  <c:v>Monday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76.5</c:v>
                </c:pt>
                <c:pt idx="1">
                  <c:v>76.3</c:v>
                </c:pt>
                <c:pt idx="2">
                  <c:v>78.5</c:v>
                </c:pt>
                <c:pt idx="3">
                  <c:v>78.3</c:v>
                </c:pt>
                <c:pt idx="4">
                  <c:v>78.4</c:v>
                </c:pt>
                <c:pt idx="5">
                  <c:v>79.3</c:v>
                </c:pt>
                <c:pt idx="6">
                  <c:v>78.7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Wednesday</c:v>
                </c:pt>
                <c:pt idx="2">
                  <c:v>Thursday</c:v>
                </c:pt>
                <c:pt idx="3">
                  <c:v>Friday</c:v>
                </c:pt>
                <c:pt idx="4">
                  <c:v>Saturday</c:v>
                </c:pt>
                <c:pt idx="5">
                  <c:v>Sunday</c:v>
                </c:pt>
                <c:pt idx="6">
                  <c:v>Monday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77.6857142857143</c:v>
                </c:pt>
                <c:pt idx="1">
                  <c:v>78</c:v>
                </c:pt>
                <c:pt idx="2">
                  <c:v>78.25</c:v>
                </c:pt>
                <c:pt idx="3">
                  <c:v>78.64</c:v>
                </c:pt>
                <c:pt idx="4">
                  <c:v>78.675</c:v>
                </c:pt>
                <c:pt idx="5">
                  <c:v>78.8</c:v>
                </c:pt>
                <c:pt idx="6">
                  <c:v>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231476"/>
        <c:axId val="72373743"/>
      </c:lineChart>
      <c:catAx>
        <c:axId val="2523147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2373743"/>
        <c:crossesAt val="0"/>
        <c:auto val="1"/>
        <c:lblAlgn val="ctr"/>
        <c:lblOffset val="100"/>
        <c:noMultiLvlLbl val="0"/>
      </c:catAx>
      <c:valAx>
        <c:axId val="723737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523147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Sheet1!$B$1:$B$14</c:f>
              <c:numCache>
                <c:formatCode>General</c:formatCode>
                <c:ptCount val="14"/>
                <c:pt idx="0">
                  <c:v>79.3</c:v>
                </c:pt>
                <c:pt idx="1">
                  <c:v>78.7</c:v>
                </c:pt>
                <c:pt idx="2">
                  <c:v>77.8</c:v>
                </c:pt>
                <c:pt idx="3">
                  <c:v>77.1</c:v>
                </c:pt>
                <c:pt idx="4">
                  <c:v>76.6</c:v>
                </c:pt>
                <c:pt idx="5">
                  <c:v>76.6</c:v>
                </c:pt>
                <c:pt idx="6">
                  <c:v>76.5</c:v>
                </c:pt>
                <c:pt idx="7">
                  <c:v>76.5</c:v>
                </c:pt>
                <c:pt idx="8">
                  <c:v>76.3</c:v>
                </c:pt>
                <c:pt idx="9">
                  <c:v>78.5</c:v>
                </c:pt>
                <c:pt idx="10">
                  <c:v>78.3</c:v>
                </c:pt>
                <c:pt idx="11">
                  <c:v>78.4</c:v>
                </c:pt>
                <c:pt idx="12">
                  <c:v>79.3</c:v>
                </c:pt>
                <c:pt idx="13">
                  <c:v>78.7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062901"/>
        <c:axId val="76396295"/>
      </c:lineChart>
      <c:catAx>
        <c:axId val="210629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396295"/>
        <c:crosses val="autoZero"/>
        <c:auto val="1"/>
        <c:lblAlgn val="ctr"/>
        <c:lblOffset val="100"/>
        <c:noMultiLvlLbl val="0"/>
      </c:catAx>
      <c:valAx>
        <c:axId val="763962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106290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548195013026"/>
          <c:y val="0.0666858914281595"/>
          <c:w val="0.70557312988463"/>
          <c:h val="0.858481724461106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974629"/>
        <c:axId val="22262760"/>
      </c:lineChart>
      <c:catAx>
        <c:axId val="1697462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2262760"/>
        <c:crosses val="autoZero"/>
        <c:auto val="1"/>
        <c:lblAlgn val="ctr"/>
        <c:lblOffset val="100"/>
        <c:noMultiLvlLbl val="0"/>
      </c:catAx>
      <c:valAx>
        <c:axId val="2226276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697462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685800</xdr:colOff>
      <xdr:row>39</xdr:row>
      <xdr:rowOff>181800</xdr:rowOff>
    </xdr:to>
    <xdr:graphicFrame>
      <xdr:nvGraphicFramePr>
        <xdr:cNvPr id="1" name=""/>
        <xdr:cNvGraphicFramePr/>
      </xdr:nvGraphicFramePr>
      <xdr:xfrm>
        <a:off x="11475360" y="2618280"/>
        <a:ext cx="7738560" cy="499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11880</xdr:colOff>
      <xdr:row>40</xdr:row>
      <xdr:rowOff>116280</xdr:rowOff>
    </xdr:from>
    <xdr:to>
      <xdr:col>17</xdr:col>
      <xdr:colOff>186120</xdr:colOff>
      <xdr:row>57</xdr:row>
      <xdr:rowOff>126720</xdr:rowOff>
    </xdr:to>
    <xdr:graphicFrame>
      <xdr:nvGraphicFramePr>
        <xdr:cNvPr id="2" name=""/>
        <xdr:cNvGraphicFramePr/>
      </xdr:nvGraphicFramePr>
      <xdr:xfrm>
        <a:off x="12023640" y="7736400"/>
        <a:ext cx="5759640" cy="3249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72720</xdr:colOff>
      <xdr:row>35</xdr:row>
      <xdr:rowOff>2160</xdr:rowOff>
    </xdr:to>
    <xdr:graphicFrame>
      <xdr:nvGraphicFramePr>
        <xdr:cNvPr id="3" name=""/>
        <xdr:cNvGraphicFramePr/>
      </xdr:nvGraphicFramePr>
      <xdr:xfrm>
        <a:off x="9101160" y="1676520"/>
        <a:ext cx="7738200" cy="499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T29" activeCellId="0" sqref="T29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46070</v>
      </c>
      <c r="L1" s="9" t="n">
        <f aca="false">INDEX(B:B, COUNTA(B:B)-7+ROW())</f>
        <v>76.5</v>
      </c>
      <c r="M1" s="10" t="n">
        <f aca="false">INDEX(G:G, COUNTA(B:B)-7+ROW())</f>
        <v>77.6857142857143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46071</v>
      </c>
      <c r="L2" s="9" t="n">
        <f aca="false">INDEX(B:B, COUNTA(B:B)-7+ROW())</f>
        <v>76.3</v>
      </c>
      <c r="M2" s="10" t="n">
        <f aca="false">INDEX(G:G, COUNTA(B:B)-7+ROW())</f>
        <v>78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46072</v>
      </c>
      <c r="L3" s="9" t="n">
        <f aca="false">INDEX(B:B, COUNTA(B:B)-7+ROW())</f>
        <v>78.5</v>
      </c>
      <c r="M3" s="10" t="n">
        <f aca="false">INDEX(G:G, COUNTA(B:B)-7+ROW())</f>
        <v>78.25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78.4</v>
      </c>
      <c r="K4" s="8" t="n">
        <f aca="false">INDEX(A:A, COUNTA(B:B)-7+ROW())</f>
        <v>46073</v>
      </c>
      <c r="L4" s="9" t="n">
        <f aca="false">INDEX(B:B, COUNTA(B:B)-7+ROW())</f>
        <v>78.3</v>
      </c>
      <c r="M4" s="10" t="n">
        <f aca="false">INDEX(G:G, COUNTA(B:B)-7+ROW())</f>
        <v>78.64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78</v>
      </c>
      <c r="K5" s="8" t="n">
        <f aca="false">INDEX(A:A, COUNTA(B:B)-7+ROW())</f>
        <v>46074</v>
      </c>
      <c r="L5" s="9" t="n">
        <f aca="false">INDEX(B:B, COUNTA(B:B)-7+ROW())</f>
        <v>78.4</v>
      </c>
      <c r="M5" s="10" t="n">
        <f aca="false">INDEX(G:G, COUNTA(B:B)-7+ROW())</f>
        <v>78.675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46075</v>
      </c>
      <c r="L6" s="9" t="n">
        <f aca="false">INDEX(B:B, COUNTA(B:B)-7+ROW())</f>
        <v>79.3</v>
      </c>
      <c r="M6" s="10" t="n">
        <f aca="false">INDEX(G:G, COUNTA(B:B)-7+ROW())</f>
        <v>78.8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46076</v>
      </c>
      <c r="L7" s="9" t="n">
        <f aca="false">INDEX(B:B, COUNTA(B:B)-7+ROW())</f>
        <v>78.7</v>
      </c>
      <c r="M7" s="10" t="n">
        <f aca="false">INDEX(G:G, COUNTA(B:B)-7+ROW())</f>
        <v>79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77.6857142857143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78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78.25</v>
      </c>
      <c r="H10" s="6" t="s">
        <v>5</v>
      </c>
      <c r="I10" s="1" t="s">
        <v>7</v>
      </c>
      <c r="J10" s="3" t="n">
        <f aca="false">((I5 - I7) * 7000) / J9</f>
        <v>56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78.64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78.675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AVERAGE(B12:B18)</f>
        <v>78.8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AVERAGE(B13:B19)</f>
        <v>79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-78.7</v>
      </c>
      <c r="D15" s="3" t="n">
        <f aca="false">B15*2.204623</f>
        <v>0</v>
      </c>
      <c r="E15" s="7" t="n">
        <f aca="false">C15*2.204623</f>
        <v>-173.5038301</v>
      </c>
      <c r="F15" s="4" t="n">
        <f aca="false">A15</f>
        <v>46077</v>
      </c>
      <c r="G15" s="7" t="n">
        <f aca="false">AVERAGE(B14:B20)</f>
        <v>78.7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8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9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10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2026-02-23T10:51:35Z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