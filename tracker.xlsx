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<sst xmlns="http://schemas.openxmlformats.org/spreadsheetml/2006/main" count="21" uniqueCount="12">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</sst>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663997392802"/>
          <c:y val="0.0667725402439905"/>
          <c:w val="0.705293542529913"/>
          <c:h val="0.85699848408287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76.4</c:v>
                </c:pt>
                <c:pt idx="1">
                  <c:v>76</c:v>
                </c:pt>
                <c:pt idx="2">
                  <c:v>75.8</c:v>
                </c:pt>
                <c:pt idx="3">
                  <c:v>77</c:v>
                </c:pt>
                <c:pt idx="4">
                  <c:v>76.8</c:v>
                </c:pt>
                <c:pt idx="5">
                  <c:v>76.4</c:v>
                </c:pt>
                <c:pt idx="6">
                  <c:v>75.8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77.125</c:v>
                </c:pt>
                <c:pt idx="1">
                  <c:v>76.9875</c:v>
                </c:pt>
                <c:pt idx="2">
                  <c:v>76.9</c:v>
                </c:pt>
                <c:pt idx="3">
                  <c:v>76.975</c:v>
                </c:pt>
                <c:pt idx="4">
                  <c:v>76.8875</c:v>
                </c:pt>
                <c:pt idx="5">
                  <c:v>76.8</c:v>
                </c:pt>
                <c:pt idx="6">
                  <c:v>76.5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149483"/>
        <c:axId val="67795056"/>
      </c:lineChart>
      <c:catAx>
        <c:axId val="40149483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7795056"/>
        <c:crossesAt val="0"/>
        <c:auto val="1"/>
        <c:lblAlgn val="ctr"/>
        <c:lblOffset val="100"/>
        <c:noMultiLvlLbl val="0"/>
      </c:catAx>
      <c:valAx>
        <c:axId val="677950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014948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236707328429"/>
          <c:y val="0.0667918261246299"/>
          <c:w val="0.705326380482354"/>
          <c:h val="0.857029388403495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934930"/>
        <c:axId val="16251542"/>
      </c:lineChart>
      <c:catAx>
        <c:axId val="27934930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6251542"/>
        <c:crosses val="autoZero"/>
        <c:auto val="1"/>
        <c:lblAlgn val="ctr"/>
        <c:lblOffset val="100"/>
        <c:noMultiLvlLbl val="0"/>
      </c:catAx>
      <c:valAx>
        <c:axId val="162515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93493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679320</xdr:colOff>
      <xdr:row>39</xdr:row>
      <xdr:rowOff>175320</xdr:rowOff>
    </xdr:to>
    <xdr:graphicFrame>
      <xdr:nvGraphicFramePr>
        <xdr:cNvPr id="1" name=""/>
        <xdr:cNvGraphicFramePr/>
      </xdr:nvGraphicFramePr>
      <xdr:xfrm>
        <a:off x="11475360" y="2618280"/>
        <a:ext cx="7732080" cy="498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66240</xdr:colOff>
      <xdr:row>34</xdr:row>
      <xdr:rowOff>184680</xdr:rowOff>
    </xdr:to>
    <xdr:graphicFrame>
      <xdr:nvGraphicFramePr>
        <xdr:cNvPr id="2" name=""/>
        <xdr:cNvGraphicFramePr/>
      </xdr:nvGraphicFramePr>
      <xdr:xfrm>
        <a:off x="9101160" y="1676520"/>
        <a:ext cx="7731720" cy="49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24" activeCellId="0" sqref="I2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46086</v>
      </c>
      <c r="L1" s="9" t="n">
        <f aca="false">INDEX(B:B, COUNTA(B:B)-7+ROW())</f>
        <v>76.4</v>
      </c>
      <c r="M1" s="10" t="n">
        <f aca="false">INDEX(G:G, COUNTA(B:B)-7+ROW())</f>
        <v>77.125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46087</v>
      </c>
      <c r="L2" s="9" t="n">
        <f aca="false">INDEX(B:B, COUNTA(B:B)-7+ROW())</f>
        <v>76</v>
      </c>
      <c r="M2" s="10" t="n">
        <f aca="false">INDEX(G:G, COUNTA(B:B)-7+ROW())</f>
        <v>76.9875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46088</v>
      </c>
      <c r="L3" s="9" t="n">
        <f aca="false">INDEX(B:B, COUNTA(B:B)-7+ROW())</f>
        <v>75.8</v>
      </c>
      <c r="M3" s="10" t="n">
        <f aca="false">INDEX(G:G, COUNTA(B:B)-7+ROW())</f>
        <v>76.9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3</v>
      </c>
      <c r="I4" s="12" t="n">
        <f aca="true">MEDIAN(OFFSET(B1, COUNTA(B:B)-7, 0, 7))</f>
        <v>76.4</v>
      </c>
      <c r="K4" s="8" t="n">
        <f aca="false">INDEX(A:A, COUNTA(B:B)-7+ROW())</f>
        <v>46089</v>
      </c>
      <c r="L4" s="9" t="n">
        <f aca="false">INDEX(B:B, COUNTA(B:B)-7+ROW())</f>
        <v>77</v>
      </c>
      <c r="M4" s="10" t="n">
        <f aca="false">INDEX(G:G, COUNTA(B:B)-7+ROW())</f>
        <v>76.975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76.3142857142857</v>
      </c>
      <c r="K5" s="8" t="n">
        <f aca="false">INDEX(A:A, COUNTA(B:B)-7+ROW())</f>
        <v>46090</v>
      </c>
      <c r="L5" s="9" t="n">
        <f aca="false">INDEX(B:B, COUNTA(B:B)-7+ROW())</f>
        <v>76.8</v>
      </c>
      <c r="M5" s="10" t="n">
        <f aca="false">INDEX(G:G, COUNTA(B:B)-7+ROW())</f>
        <v>76.8875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46091</v>
      </c>
      <c r="L6" s="9" t="n">
        <f aca="false">INDEX(B:B, COUNTA(B:B)-7+ROW())</f>
        <v>76.4</v>
      </c>
      <c r="M6" s="10" t="n">
        <f aca="false">INDEX(G:G, COUNTA(B:B)-7+ROW())</f>
        <v>76.8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4</v>
      </c>
      <c r="I7" s="3" t="n">
        <v>70</v>
      </c>
      <c r="K7" s="8" t="n">
        <f aca="false">INDEX(A:A, COUNTA(B:B)-7+ROW())</f>
        <v>46092</v>
      </c>
      <c r="L7" s="9" t="n">
        <f aca="false">INDEX(B:B, COUNTA(B:B)-7+ROW())</f>
        <v>75.8</v>
      </c>
      <c r="M7" s="10" t="n">
        <f aca="false">INDEX(G:G, COUNTA(B:B)-7+ROW())</f>
        <v>76.5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5</v>
      </c>
      <c r="I10" s="1" t="s">
        <v>7</v>
      </c>
      <c r="J10" s="3" t="n">
        <f aca="false">((I5 - I7) * 7000) / J9</f>
        <v>44.2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5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-75.8</v>
      </c>
      <c r="D31" s="3" t="n">
        <f aca="false">B31*2.204623</f>
        <v>0</v>
      </c>
      <c r="E31" s="7" t="n">
        <f aca="false">C31*2.204623</f>
        <v>-167.1104234</v>
      </c>
      <c r="F31" s="4" t="n">
        <f aca="false">A31</f>
        <v>46093</v>
      </c>
      <c r="G31" s="7" t="n">
        <f aca="false">AVERAGE(B24:B31)</f>
        <v>76.3142857142857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n">
        <f aca="false">AVERAGE(B25:B32)</f>
        <v>76.3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n">
        <f aca="false">AVERAGE(B26:B33)</f>
        <v>76.36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n">
        <f aca="false">AVERAGE(B27:B34)</f>
        <v>76.5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n">
        <f aca="false">AVERAGE(B28:B35)</f>
        <v>76.3333333333333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n">
        <f aca="false">AVERAGE(B29:B36)</f>
        <v>76.1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AVERAGE(B31:B38)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23" colorId="64" zoomScale="110" zoomScaleNormal="110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2026-03-11T08:19:13Z</dcterms:modified>
  <cp:revision>145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