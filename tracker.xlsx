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<sst xmlns="http://schemas.openxmlformats.org/spreadsheetml/2006/main" count="20" uniqueCount="12">
  <si>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</si>
  <si>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</si>
  <si>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</si>
  <si>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</si>
  <si>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target kg</t>
  </si>
  <si>
    <t xml:space="preserve">refeed</t>
  </si>
  <si>
    <t xml:space="preserve">DAILY CALORIE DEFICIT</t>
  </si>
  <si>
    <t xml:space="preserve">remaining rfl ~days:</t>
  </si>
  <si>
    <t xml:space="preserve">refeed on this day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</si>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</sst>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2434256457994"/>
          <c:y val="0.0667436322967025"/>
          <c:w val="0.705375843611822"/>
          <c:h val="0.85749332563677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76.4</c:v>
                </c:pt>
                <c:pt idx="1">
                  <c:v>77.5</c:v>
                </c:pt>
                <c:pt idx="2">
                  <c:v>77.1</c:v>
                </c:pt>
                <c:pt idx="3">
                  <c:v>78.2</c:v>
                </c:pt>
                <c:pt idx="4">
                  <c:v>77.8</c:v>
                </c:pt>
                <c:pt idx="5">
                  <c:v>76.4</c:v>
                </c:pt>
                <c:pt idx="6">
                  <c:v>76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77.1285714285714</c:v>
                </c:pt>
                <c:pt idx="1">
                  <c:v>77.0571428571429</c:v>
                </c:pt>
                <c:pt idx="2">
                  <c:v>77.1666666666667</c:v>
                </c:pt>
                <c:pt idx="3">
                  <c:v>77.1</c:v>
                </c:pt>
                <c:pt idx="4">
                  <c:v>77.1</c:v>
                </c:pt>
                <c:pt idx="5">
                  <c:v>76.7333333333333</c:v>
                </c:pt>
                <c:pt idx="6">
                  <c:v>76.2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362220"/>
        <c:axId val="15938252"/>
      </c:lineChart>
      <c:catAx>
        <c:axId val="11362220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5938252"/>
        <c:crossesAt val="0"/>
        <c:auto val="1"/>
        <c:lblAlgn val="ctr"/>
        <c:lblOffset val="100"/>
        <c:noMultiLvlLbl val="0"/>
      </c:catAx>
      <c:valAx>
        <c:axId val="1593825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136222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2007075032582"/>
          <c:y val="0.0667629014796103"/>
          <c:w val="0.705408676224167"/>
          <c:h val="0.857524359437026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10084"/>
        <c:axId val="5419366"/>
      </c:lineChart>
      <c:catAx>
        <c:axId val="9710084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419366"/>
        <c:crosses val="autoZero"/>
        <c:auto val="1"/>
        <c:lblAlgn val="ctr"/>
        <c:lblOffset val="100"/>
        <c:noMultiLvlLbl val="0"/>
      </c:catAx>
      <c:valAx>
        <c:axId val="541936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71008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681480</xdr:colOff>
      <xdr:row>39</xdr:row>
      <xdr:rowOff>177480</xdr:rowOff>
    </xdr:to>
    <xdr:graphicFrame>
      <xdr:nvGraphicFramePr>
        <xdr:cNvPr id="1" name=""/>
        <xdr:cNvGraphicFramePr/>
      </xdr:nvGraphicFramePr>
      <xdr:xfrm>
        <a:off x="11475360" y="2618280"/>
        <a:ext cx="7734240" cy="4988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68400</xdr:colOff>
      <xdr:row>34</xdr:row>
      <xdr:rowOff>186840</xdr:rowOff>
    </xdr:to>
    <xdr:graphicFrame>
      <xdr:nvGraphicFramePr>
        <xdr:cNvPr id="2" name=""/>
        <xdr:cNvGraphicFramePr/>
      </xdr:nvGraphicFramePr>
      <xdr:xfrm>
        <a:off x="9101160" y="1676520"/>
        <a:ext cx="7733880" cy="4987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H22" activeCellId="0" sqref="H22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46081</v>
      </c>
      <c r="L1" s="9" t="n">
        <f aca="false">INDEX(B:B, COUNTA(B:B)-7+ROW())</f>
        <v>76.4</v>
      </c>
      <c r="M1" s="10" t="n">
        <f aca="false">INDEX(G:G, COUNTA(B:B)-7+ROW())</f>
        <v>77.1285714285714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 t="n">
        <f aca="false">AVERAGE(B1:B7)</f>
        <v>77.5142857142857</v>
      </c>
      <c r="K2" s="8" t="n">
        <f aca="false">INDEX(A:A, COUNTA(B:B)-7+ROW())</f>
        <v>46082</v>
      </c>
      <c r="L2" s="9" t="n">
        <f aca="false">INDEX(B:B, COUNTA(B:B)-7+ROW())</f>
        <v>77.5</v>
      </c>
      <c r="M2" s="10" t="n">
        <f aca="false">INDEX(G:G, COUNTA(B:B)-7+ROW())</f>
        <v>77.0571428571429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 t="n">
        <f aca="false">AVERAGE(B2:B8)</f>
        <v>77.1142857142857</v>
      </c>
      <c r="K3" s="8" t="n">
        <f aca="false">INDEX(A:A, COUNTA(B:B)-7+ROW())</f>
        <v>46083</v>
      </c>
      <c r="L3" s="9" t="n">
        <f aca="false">INDEX(B:B, COUNTA(B:B)-7+ROW())</f>
        <v>77.1</v>
      </c>
      <c r="M3" s="10" t="n">
        <f aca="false">INDEX(G:G, COUNTA(B:B)-7+ROW())</f>
        <v>77.1666666666667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 t="n">
        <f aca="false">AVERAGE(B3:B9)</f>
        <v>76.7714285714286</v>
      </c>
      <c r="H4" s="6" t="s">
        <v>3</v>
      </c>
      <c r="I4" s="12" t="n">
        <f aca="true">MEDIAN(OFFSET(B1, COUNTA(B:B)-7, 0, 7))</f>
        <v>77.1</v>
      </c>
      <c r="K4" s="8" t="n">
        <f aca="false">INDEX(A:A, COUNTA(B:B)-7+ROW())</f>
        <v>46084</v>
      </c>
      <c r="L4" s="9" t="n">
        <f aca="false">INDEX(B:B, COUNTA(B:B)-7+ROW())</f>
        <v>78.2</v>
      </c>
      <c r="M4" s="10" t="n">
        <f aca="false">INDEX(G:G, COUNTA(B:B)-7+ROW())</f>
        <v>77.1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 t="n">
        <f aca="false">AVERAGE(B4:B10)</f>
        <v>76.8714285714286</v>
      </c>
      <c r="H5" s="1" t="s">
        <v>0</v>
      </c>
      <c r="I5" s="12" t="n">
        <f aca="true">AVERAGE(OFFSET(B1, COUNTA(B:B)-7, 0, 7))</f>
        <v>77.0571428571429</v>
      </c>
      <c r="K5" s="8" t="n">
        <f aca="false">INDEX(A:A, COUNTA(B:B)-7+ROW())</f>
        <v>46085</v>
      </c>
      <c r="L5" s="9" t="n">
        <f aca="false">INDEX(B:B, COUNTA(B:B)-7+ROW())</f>
        <v>77.8</v>
      </c>
      <c r="M5" s="10" t="n">
        <f aca="false">INDEX(G:G, COUNTA(B:B)-7+ROW())</f>
        <v>77.1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 t="n">
        <f aca="false">AVERAGE(B5:B11)</f>
        <v>77.0428571428571</v>
      </c>
      <c r="H6" s="6"/>
      <c r="K6" s="8" t="n">
        <f aca="false">INDEX(A:A, COUNTA(B:B)-7+ROW())</f>
        <v>46086</v>
      </c>
      <c r="L6" s="9" t="n">
        <f aca="false">INDEX(B:B, COUNTA(B:B)-7+ROW())</f>
        <v>76.4</v>
      </c>
      <c r="M6" s="10" t="n">
        <f aca="false">INDEX(G:G, COUNTA(B:B)-7+ROW())</f>
        <v>76.7333333333333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 t="n">
        <f aca="false">AVERAGE(B6:B12)</f>
        <v>77.3</v>
      </c>
      <c r="H7" s="6" t="s">
        <v>4</v>
      </c>
      <c r="I7" s="3" t="n">
        <v>70</v>
      </c>
      <c r="K7" s="8" t="n">
        <f aca="false">INDEX(A:A, COUNTA(B:B)-7+ROW())</f>
        <v>46087</v>
      </c>
      <c r="L7" s="9" t="n">
        <f aca="false">INDEX(B:B, COUNTA(B:B)-7+ROW())</f>
        <v>76</v>
      </c>
      <c r="M7" s="10" t="n">
        <f aca="false">INDEX(G:G, COUNTA(B:B)-7+ROW())</f>
        <v>76.2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 t="n">
        <f aca="false">AVERAGE(B7:B13)</f>
        <v>77.6857142857143</v>
      </c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AVERAGE(B8:B14)</f>
        <v>78</v>
      </c>
      <c r="H9" s="6" t="s">
        <v>5</v>
      </c>
      <c r="I9" s="1" t="s">
        <v>6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AVERAGE(B9:B15)</f>
        <v>78.1714285714286</v>
      </c>
      <c r="H10" s="6" t="s">
        <v>5</v>
      </c>
      <c r="I10" s="1" t="s">
        <v>7</v>
      </c>
      <c r="J10" s="3" t="n">
        <f aca="false">((I5 - I7) * 7000) / J9</f>
        <v>49.4</v>
      </c>
    </row>
    <row r="11" customFormat="false" ht="15" hidden="false" customHeight="false" outlineLevel="0" collapsed="false">
      <c r="A11" s="5" t="n">
        <v>46073</v>
      </c>
      <c r="B11" s="1" t="n">
        <v>78.3</v>
      </c>
      <c r="C11" s="11" t="n">
        <f aca="false">B11-B10</f>
        <v>-0.200000000000003</v>
      </c>
      <c r="D11" s="3" t="n">
        <f aca="false">B11*2.204623</f>
        <v>172.6219809</v>
      </c>
      <c r="E11" s="7" t="n">
        <f aca="false">C11*2.204623</f>
        <v>-0.440924600000006</v>
      </c>
      <c r="F11" s="4" t="n">
        <f aca="false">A11</f>
        <v>46073</v>
      </c>
      <c r="G11" s="7" t="n">
        <f aca="false">AVERAGE(B10:B16)</f>
        <v>78.3428571428571</v>
      </c>
      <c r="H11" s="1" t="s">
        <v>5</v>
      </c>
    </row>
    <row r="12" customFormat="false" ht="15" hidden="false" customHeight="false" outlineLevel="0" collapsed="false">
      <c r="A12" s="5" t="n">
        <v>46074</v>
      </c>
      <c r="B12" s="1" t="n">
        <v>78.4</v>
      </c>
      <c r="C12" s="11" t="n">
        <f aca="false">B12-B11</f>
        <v>0.100000000000009</v>
      </c>
      <c r="D12" s="3" t="n">
        <f aca="false">B12*2.204623</f>
        <v>172.8424432</v>
      </c>
      <c r="E12" s="7" t="n">
        <f aca="false">C12*2.204623</f>
        <v>0.220462300000019</v>
      </c>
      <c r="F12" s="4" t="n">
        <f aca="false">A12</f>
        <v>46074</v>
      </c>
      <c r="G12" s="7" t="n">
        <f aca="false">AVERAGE(B11:B17)</f>
        <v>78.1428571428571</v>
      </c>
      <c r="H12" s="1" t="s">
        <v>5</v>
      </c>
    </row>
    <row r="13" customFormat="false" ht="15" hidden="false" customHeight="false" outlineLevel="0" collapsed="false">
      <c r="A13" s="5" t="n">
        <v>46075</v>
      </c>
      <c r="B13" s="1" t="n">
        <v>79.3</v>
      </c>
      <c r="C13" s="11" t="n">
        <f aca="false">B13-B12</f>
        <v>0.899999999999992</v>
      </c>
      <c r="D13" s="3" t="n">
        <f aca="false">B13*2.204623</f>
        <v>174.8266039</v>
      </c>
      <c r="E13" s="7" t="n">
        <f aca="false">C13*2.204623</f>
        <v>1.98416069999998</v>
      </c>
      <c r="F13" s="4" t="n">
        <f aca="false">A13</f>
        <v>46075</v>
      </c>
      <c r="G13" s="7" t="n">
        <f aca="false">AVERAGE(B12:B18)</f>
        <v>77.8857142857143</v>
      </c>
    </row>
    <row r="14" customFormat="false" ht="15" hidden="false" customHeight="false" outlineLevel="0" collapsed="false">
      <c r="A14" s="5" t="n">
        <v>46076</v>
      </c>
      <c r="B14" s="1" t="n">
        <v>78.7</v>
      </c>
      <c r="C14" s="11" t="n">
        <f aca="false">B14-B13</f>
        <v>-0.599999999999994</v>
      </c>
      <c r="D14" s="3" t="n">
        <f aca="false">B14*2.204623</f>
        <v>173.5038301</v>
      </c>
      <c r="E14" s="7" t="n">
        <f aca="false">C14*2.204623</f>
        <v>-1.32277379999999</v>
      </c>
      <c r="F14" s="4" t="n">
        <f aca="false">A14</f>
        <v>46076</v>
      </c>
      <c r="G14" s="7" t="n">
        <f aca="false">AVERAGE(B13:B19)</f>
        <v>77.6</v>
      </c>
    </row>
    <row r="15" customFormat="false" ht="15" hidden="false" customHeight="false" outlineLevel="0" collapsed="false">
      <c r="A15" s="5" t="n">
        <v>46077</v>
      </c>
      <c r="B15" s="1" t="n">
        <v>77.7</v>
      </c>
      <c r="C15" s="11" t="n">
        <f aca="false">B15-B14</f>
        <v>-1</v>
      </c>
      <c r="D15" s="3" t="n">
        <f aca="false">B15*2.204623</f>
        <v>171.2992071</v>
      </c>
      <c r="E15" s="7" t="n">
        <f aca="false">C15*2.204623</f>
        <v>-2.204623</v>
      </c>
      <c r="F15" s="4" t="n">
        <f aca="false">A15</f>
        <v>46077</v>
      </c>
      <c r="G15" s="7" t="n">
        <f aca="false">AVERAGE(B14:B20)</f>
        <v>77.3428571428571</v>
      </c>
    </row>
    <row r="16" customFormat="false" ht="15" hidden="false" customHeight="false" outlineLevel="0" collapsed="false">
      <c r="A16" s="5" t="n">
        <v>46078</v>
      </c>
      <c r="B16" s="1" t="n">
        <v>77.5</v>
      </c>
      <c r="C16" s="11" t="n">
        <f aca="false">B16-B15</f>
        <v>-0.200000000000003</v>
      </c>
      <c r="D16" s="3" t="n">
        <f aca="false">B16*2.204623</f>
        <v>170.8582825</v>
      </c>
      <c r="E16" s="7" t="n">
        <f aca="false">C16*2.204623</f>
        <v>-0.440924600000006</v>
      </c>
      <c r="F16" s="4" t="n">
        <f aca="false">A16</f>
        <v>46078</v>
      </c>
      <c r="G16" s="7" t="n">
        <f aca="false">AVERAGE(B15:B21)</f>
        <v>77.1142857142857</v>
      </c>
    </row>
    <row r="17" customFormat="false" ht="15" hidden="false" customHeight="false" outlineLevel="0" collapsed="false">
      <c r="A17" s="5" t="n">
        <v>46079</v>
      </c>
      <c r="B17" s="1" t="n">
        <v>77.1</v>
      </c>
      <c r="C17" s="11" t="n">
        <f aca="false">B17-B16</f>
        <v>-0.400000000000006</v>
      </c>
      <c r="D17" s="3" t="n">
        <f aca="false">B17*2.204623</f>
        <v>169.9764333</v>
      </c>
      <c r="E17" s="7" t="n">
        <f aca="false">C17*2.204623</f>
        <v>-0.881849200000013</v>
      </c>
      <c r="F17" s="4" t="n">
        <f aca="false">A17</f>
        <v>46079</v>
      </c>
      <c r="G17" s="7" t="n">
        <f aca="false">AVERAGE(B16:B22)</f>
        <v>77.1857142857143</v>
      </c>
    </row>
    <row r="18" customFormat="false" ht="15" hidden="false" customHeight="false" outlineLevel="0" collapsed="false">
      <c r="A18" s="5" t="n">
        <v>46080</v>
      </c>
      <c r="B18" s="1" t="n">
        <v>76.5</v>
      </c>
      <c r="C18" s="11" t="n">
        <f aca="false">B18-B17</f>
        <v>-0.599999999999994</v>
      </c>
      <c r="D18" s="3" t="n">
        <f aca="false">B18*2.204623</f>
        <v>168.6536595</v>
      </c>
      <c r="E18" s="7" t="n">
        <f aca="false">C18*2.204623</f>
        <v>-1.32277379999999</v>
      </c>
      <c r="F18" s="4" t="n">
        <f aca="false">A18</f>
        <v>46080</v>
      </c>
      <c r="G18" s="7" t="n">
        <f aca="false">AVERAGE(B17:B23)</f>
        <v>77.2285714285714</v>
      </c>
    </row>
    <row r="19" customFormat="false" ht="15" hidden="false" customHeight="false" outlineLevel="0" collapsed="false">
      <c r="A19" s="5" t="n">
        <v>46081</v>
      </c>
      <c r="B19" s="1" t="n">
        <v>76.4</v>
      </c>
      <c r="C19" s="11" t="n">
        <f aca="false">B19-B18</f>
        <v>-0.0999999999999943</v>
      </c>
      <c r="D19" s="3" t="n">
        <f aca="false">B19*2.204623</f>
        <v>168.4331972</v>
      </c>
      <c r="E19" s="7" t="n">
        <f aca="false">C19*2.204623</f>
        <v>-0.220462299999987</v>
      </c>
      <c r="F19" s="4" t="n">
        <f aca="false">A19</f>
        <v>46081</v>
      </c>
      <c r="G19" s="7" t="n">
        <f aca="false">AVERAGE(B18:B24)</f>
        <v>77.1285714285714</v>
      </c>
      <c r="H19" s="1" t="s">
        <v>8</v>
      </c>
    </row>
    <row r="20" customFormat="false" ht="15" hidden="false" customHeight="false" outlineLevel="0" collapsed="false">
      <c r="A20" s="5" t="n">
        <v>46082</v>
      </c>
      <c r="B20" s="1" t="n">
        <v>77.5</v>
      </c>
      <c r="C20" s="11" t="n">
        <f aca="false">B20-B19</f>
        <v>1.09999999999999</v>
      </c>
      <c r="D20" s="3" t="n">
        <f aca="false">B20*2.204623</f>
        <v>170.8582825</v>
      </c>
      <c r="E20" s="7" t="n">
        <f aca="false">C20*2.204623</f>
        <v>2.42508529999999</v>
      </c>
      <c r="F20" s="4" t="n">
        <f aca="false">A20</f>
        <v>46082</v>
      </c>
      <c r="G20" s="7" t="n">
        <f aca="false">AVERAGE(B19:B25)</f>
        <v>77.0571428571429</v>
      </c>
    </row>
    <row r="21" customFormat="false" ht="15" hidden="false" customHeight="false" outlineLevel="0" collapsed="false">
      <c r="A21" s="5" t="n">
        <v>46083</v>
      </c>
      <c r="B21" s="1" t="n">
        <v>77.1</v>
      </c>
      <c r="C21" s="11" t="n">
        <f aca="false">B21-B20</f>
        <v>-0.400000000000006</v>
      </c>
      <c r="D21" s="3" t="n">
        <f aca="false">B21*2.204623</f>
        <v>169.9764333</v>
      </c>
      <c r="E21" s="7" t="n">
        <f aca="false">C21*2.204623</f>
        <v>-0.881849200000013</v>
      </c>
      <c r="F21" s="4" t="n">
        <f aca="false">A21</f>
        <v>46083</v>
      </c>
      <c r="G21" s="7" t="n">
        <f aca="false">AVERAGE(B20:B26)</f>
        <v>77.1666666666667</v>
      </c>
    </row>
    <row r="22" customFormat="false" ht="15" hidden="false" customHeight="false" outlineLevel="0" collapsed="false">
      <c r="A22" s="5" t="n">
        <v>46084</v>
      </c>
      <c r="B22" s="1" t="n">
        <v>78.2</v>
      </c>
      <c r="C22" s="11" t="n">
        <f aca="false">B22-B21</f>
        <v>1.10000000000001</v>
      </c>
      <c r="D22" s="3" t="n">
        <f aca="false">B22*2.204623</f>
        <v>172.4015186</v>
      </c>
      <c r="E22" s="7" t="n">
        <f aca="false">C22*2.204623</f>
        <v>2.42508530000002</v>
      </c>
      <c r="F22" s="4" t="n">
        <f aca="false">A22</f>
        <v>46084</v>
      </c>
      <c r="G22" s="7" t="n">
        <f aca="false">AVERAGE(B21:B27)</f>
        <v>77.1</v>
      </c>
    </row>
    <row r="23" customFormat="false" ht="15" hidden="false" customHeight="false" outlineLevel="0" collapsed="false">
      <c r="A23" s="5" t="n">
        <v>46085</v>
      </c>
      <c r="B23" s="1" t="n">
        <v>77.8</v>
      </c>
      <c r="C23" s="11" t="n">
        <f aca="false">B23-B22</f>
        <v>-0.400000000000006</v>
      </c>
      <c r="D23" s="3" t="n">
        <f aca="false">B23*2.204623</f>
        <v>171.5196694</v>
      </c>
      <c r="E23" s="7" t="n">
        <f aca="false">C23*2.204623</f>
        <v>-0.881849200000013</v>
      </c>
      <c r="F23" s="4" t="n">
        <f aca="false">A23</f>
        <v>46085</v>
      </c>
      <c r="G23" s="7" t="n">
        <f aca="false">AVERAGE(B22:B28)</f>
        <v>77.1</v>
      </c>
    </row>
    <row r="24" customFormat="false" ht="15" hidden="false" customHeight="false" outlineLevel="0" collapsed="false">
      <c r="A24" s="5" t="n">
        <v>46086</v>
      </c>
      <c r="B24" s="1" t="n">
        <v>76.4</v>
      </c>
      <c r="C24" s="11" t="n">
        <f aca="false">B24-B23</f>
        <v>-1.39999999999999</v>
      </c>
      <c r="D24" s="3" t="n">
        <f aca="false">B24*2.204623</f>
        <v>168.4331972</v>
      </c>
      <c r="E24" s="7" t="n">
        <f aca="false">C24*2.204623</f>
        <v>-3.08647219999998</v>
      </c>
      <c r="F24" s="4" t="n">
        <f aca="false">A24</f>
        <v>46086</v>
      </c>
      <c r="G24" s="7" t="n">
        <f aca="false">AVERAGE(B23:B29)</f>
        <v>76.7333333333333</v>
      </c>
    </row>
    <row r="25" customFormat="false" ht="15" hidden="false" customHeight="false" outlineLevel="0" collapsed="false">
      <c r="A25" s="5" t="n">
        <v>46087</v>
      </c>
      <c r="B25" s="1" t="n">
        <v>76</v>
      </c>
      <c r="C25" s="11" t="n">
        <f aca="false">B25-B24</f>
        <v>-0.400000000000006</v>
      </c>
      <c r="D25" s="3" t="n">
        <f aca="false">B25*2.204623</f>
        <v>167.551348</v>
      </c>
      <c r="E25" s="7" t="n">
        <f aca="false">C25*2.204623</f>
        <v>-0.881849200000013</v>
      </c>
      <c r="F25" s="4" t="n">
        <f aca="false">A25</f>
        <v>46087</v>
      </c>
      <c r="G25" s="7" t="n">
        <f aca="false">AVERAGE(B24:B30)</f>
        <v>76.2</v>
      </c>
    </row>
    <row r="26" customFormat="false" ht="15" hidden="false" customHeight="false" outlineLevel="0" collapsed="false">
      <c r="A26" s="5" t="n">
        <v>46088</v>
      </c>
      <c r="C26" s="11" t="n">
        <f aca="false">B26-B25</f>
        <v>-76</v>
      </c>
      <c r="D26" s="3" t="n">
        <f aca="false">B26*2.204623</f>
        <v>0</v>
      </c>
      <c r="E26" s="7" t="n">
        <f aca="false">C26*2.204623</f>
        <v>-167.551348</v>
      </c>
      <c r="F26" s="4" t="n">
        <f aca="false">A26</f>
        <v>46088</v>
      </c>
      <c r="G26" s="7" t="n">
        <f aca="false">AVERAGE(B25:B31)</f>
        <v>76</v>
      </c>
    </row>
    <row r="27" customFormat="false" ht="15" hidden="false" customHeight="false" outlineLevel="0" collapsed="false">
      <c r="A27" s="5" t="n">
        <v>46089</v>
      </c>
      <c r="C27" s="11" t="n">
        <f aca="false">B27-B26</f>
        <v>0</v>
      </c>
      <c r="D27" s="3" t="n">
        <f aca="false">B27*2.204623</f>
        <v>0</v>
      </c>
      <c r="E27" s="7" t="n">
        <f aca="false">C27*2.204623</f>
        <v>0</v>
      </c>
      <c r="F27" s="4" t="n">
        <f aca="false">A27</f>
        <v>46089</v>
      </c>
      <c r="G27" s="7" t="e">
        <f aca="false">AVERAGE(B26:B32)</f>
        <v>#DIV/0!</v>
      </c>
    </row>
    <row r="28" customFormat="false" ht="15" hidden="false" customHeight="false" outlineLevel="0" collapsed="false">
      <c r="A28" s="5" t="n">
        <v>46090</v>
      </c>
      <c r="C28" s="11" t="n">
        <f aca="false">B28-B27</f>
        <v>0</v>
      </c>
      <c r="D28" s="3" t="n">
        <f aca="false">B28*2.204623</f>
        <v>0</v>
      </c>
      <c r="E28" s="7" t="n">
        <f aca="false">C28*2.204623</f>
        <v>0</v>
      </c>
      <c r="F28" s="4" t="n">
        <f aca="false">A28</f>
        <v>46090</v>
      </c>
      <c r="G28" s="7" t="e">
        <f aca="false">AVERAGE(B27:B33)</f>
        <v>#DIV/0!</v>
      </c>
    </row>
    <row r="29" customFormat="false" ht="15" hidden="false" customHeight="false" outlineLevel="0" collapsed="false">
      <c r="A29" s="5" t="n">
        <v>46091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46091</v>
      </c>
      <c r="G29" s="7" t="e">
        <f aca="false">AVERAGE(B28:B34)</f>
        <v>#DIV/0!</v>
      </c>
    </row>
    <row r="30" customFormat="false" ht="15" hidden="false" customHeight="false" outlineLevel="0" collapsed="false">
      <c r="A30" s="5" t="n">
        <v>46092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46092</v>
      </c>
      <c r="G30" s="7" t="e">
        <f aca="false">AVERAGE(B29:B35)</f>
        <v>#DIV/0!</v>
      </c>
      <c r="L30" s="6"/>
    </row>
    <row r="31" customFormat="false" ht="15" hidden="false" customHeight="false" outlineLevel="0" collapsed="false">
      <c r="A31" s="5" t="n">
        <v>46093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46093</v>
      </c>
      <c r="G31" s="7" t="e">
        <f aca="false">AVERAGE(B30:B36)</f>
        <v>#DIV/0!</v>
      </c>
    </row>
    <row r="32" customFormat="false" ht="15" hidden="false" customHeight="false" outlineLevel="0" collapsed="false">
      <c r="A32" s="5" t="n">
        <v>46094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46094</v>
      </c>
      <c r="G32" s="7" t="e">
        <f aca="false">AVERAGE(B31:B37)</f>
        <v>#DIV/0!</v>
      </c>
    </row>
    <row r="33" customFormat="false" ht="15" hidden="false" customHeight="false" outlineLevel="0" collapsed="false">
      <c r="A33" s="5" t="n">
        <v>46095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46095</v>
      </c>
      <c r="G33" s="7" t="e">
        <f aca="false">AVERAGE(B32:B38)</f>
        <v>#DIV/0!</v>
      </c>
    </row>
    <row r="34" customFormat="false" ht="15" hidden="false" customHeight="false" outlineLevel="0" collapsed="false">
      <c r="A34" s="5" t="n">
        <v>46096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46096</v>
      </c>
      <c r="G34" s="7" t="e">
        <f aca="false">AVERAGE(B33:B39)</f>
        <v>#DIV/0!</v>
      </c>
    </row>
    <row r="35" customFormat="false" ht="15" hidden="false" customHeight="false" outlineLevel="0" collapsed="false">
      <c r="A35" s="5" t="n">
        <v>46097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46097</v>
      </c>
      <c r="G35" s="7" t="e">
        <f aca="false">AVERAGE(B34:B40)</f>
        <v>#DIV/0!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46098</v>
      </c>
      <c r="G36" s="7" t="e">
        <f aca="false">AVERAGE(B35:B41)</f>
        <v>#DIV/0!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e">
        <f aca="false">AVERAGE(B36:B42)</f>
        <v>#DIV/0!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e">
        <f aca="false">AVERAGE(B37:B43)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xr2:uid="{EBD9D27C-ED44-46A8-98A4-00512C89C34D}">
          <x14:colorSeries rgb="FF2A6099"/>
          <x14:colorNegative rgb="FFFF0000"/>
          <x14:colorAxis rgb="FFFF0000"/>
          <x14:colorMarkers rgb="FFFF0000"/>
          <x14:colorFirst rgb="FFFF0000"/>
          <x14:colorLast rgb="FFFF0000"/>
          <x14:colorHigh rgb="FFFF0000"/>
          <x14:colorLow rgb="FFFF0000"/>
          <x14:sparklines>
            <x14:sparkline>
              <xm:f>Sheet1!B1:B1048576</xm:f>
              <xm:sqref>A1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9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10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11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1722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2026-03-06T08:45:20Z</dcterms:modified>
  <cp:revision>136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