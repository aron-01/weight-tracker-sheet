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3" sheetId="2" state="visible" r:id="rId4"/>
    <sheet name="Sheet1_2" sheetId="3" state="visible" r:id="rId5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Sheet1_3!$B$1:INDEX(Sheet1_3!$B:$B, COUNTA(Sheet1_3!$B:$B))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  <definedName function="false" hidden="false" localSheetId="2" name="COLUMN_B" vbProcedure="false">Sheet1_2!$B$1:INDEX(Sheet1_2!$B:$B, COUNTA(Sheet1_2!$B:$B))</definedName>
    <definedName function="false" hidden="false" localSheetId="2" name="_xlnm.Print_Area" vbProcedure="false">#REF!</definedName>
    <definedName function="false" hidden="false" localSheetId="2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<sst xmlns="http://schemas.openxmlformats.org/spreadsheetml/2006/main" count="46" uniqueCount="17">
  <si>
    <t xml:space="preserve">7 day average</t>
  </si>
  <si>
    <t xml:space="preserve">DAY 1</t>
  </si>
  <si>
    <t xml:space="preserve">Last 7 values</t>
  </si>
  <si>
    <t xml:space="preserve">DAILY CALORIE DEFICIT</t>
  </si>
  <si>
    <t xml:space="preserve">remaining rfl ~days:</t>
  </si>
  <si>
    <t xml:space="preserve">Day 2 of rfl</t>
  </si>
  <si>
    <t xml:space="preserve">7 day median</t>
  </si>
  <si>
    <t xml:space="preserve">target kg</t>
  </si>
  <si>
    <t xml:space="preserve">refeed</t>
  </si>
  <si>
    <t xml:space="preserve">refeed on this day</t>
  </si>
  <si>
    <t xml:space="preserve">q</t>
  </si>
  <si>
    <t xml:space="preserve">wedding</t>
  </si>
  <si>
    <t xml:space="preserve">inaccurate</t>
  </si>
  <si>
    <t xml:space="preserve">diet break start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</si>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</sst>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4237335572348"/>
          <c:y val="0.0669707500724008"/>
          <c:w val="0.704729918835712"/>
          <c:h val="0.853605560382276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Err:502</c:v>
                </c:pt>
                <c:pt idx="1">
                  <c:v>Err:502</c:v>
                </c:pt>
                <c:pt idx="2">
                  <c:v>Thursday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2">
                  <c:v>77</c:v>
                </c:pt>
                <c:pt idx="3">
                  <c:v>80.3</c:v>
                </c:pt>
                <c:pt idx="4">
                  <c:v>77.5</c:v>
                </c:pt>
                <c:pt idx="5">
                  <c:v>77</c:v>
                </c:pt>
                <c:pt idx="6">
                  <c:v>76.6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Err:502</c:v>
                </c:pt>
                <c:pt idx="1">
                  <c:v>Err:502</c:v>
                </c:pt>
                <c:pt idx="2">
                  <c:v>Thursday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72484"/>
        <c:axId val="41247786"/>
      </c:lineChart>
      <c:catAx>
        <c:axId val="6972484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1247786"/>
        <c:crossesAt val="0"/>
        <c:auto val="1"/>
        <c:lblAlgn val="ctr"/>
        <c:lblOffset val="100"/>
        <c:noMultiLvlLbl val="0"/>
      </c:catAx>
      <c:valAx>
        <c:axId val="412477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97248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4237335572348"/>
          <c:y val="0.0669707500724008"/>
          <c:w val="0.704683272693348"/>
          <c:h val="0.853605560382276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Sheet1_3!$K$1:$K$7</c:f>
              <c:strCache>
                <c:ptCount val="7"/>
                <c:pt idx="0">
                  <c:v>Friday</c:v>
                </c:pt>
                <c:pt idx="1">
                  <c:v>Saturday</c:v>
                </c:pt>
                <c:pt idx="2">
                  <c:v>Sunday</c:v>
                </c:pt>
                <c:pt idx="3">
                  <c:v>Monday</c:v>
                </c:pt>
                <c:pt idx="4">
                  <c:v>Tuesday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Sheet1_3!$L$1:$L$7</c:f>
              <c:numCache>
                <c:formatCode>General</c:formatCode>
                <c:ptCount val="7"/>
                <c:pt idx="0">
                  <c:v>76</c:v>
                </c:pt>
                <c:pt idx="1">
                  <c:v>76</c:v>
                </c:pt>
                <c:pt idx="2">
                  <c:v>76</c:v>
                </c:pt>
                <c:pt idx="3">
                  <c:v>76</c:v>
                </c:pt>
                <c:pt idx="4">
                  <c:v>76</c:v>
                </c:pt>
                <c:pt idx="5">
                  <c:v>77</c:v>
                </c:pt>
                <c:pt idx="6">
                  <c:v>76.6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Sheet1_3!$K$1:$K$7</c:f>
              <c:strCache>
                <c:ptCount val="7"/>
                <c:pt idx="0">
                  <c:v>Friday</c:v>
                </c:pt>
                <c:pt idx="1">
                  <c:v>Saturday</c:v>
                </c:pt>
                <c:pt idx="2">
                  <c:v>Sunday</c:v>
                </c:pt>
                <c:pt idx="3">
                  <c:v>Monday</c:v>
                </c:pt>
                <c:pt idx="4">
                  <c:v>Tuesday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Sheet1_3!$M$1:$M$7</c:f>
              <c:numCache>
                <c:formatCode>[BLUE]0.00;[RED]\-0.00</c:formatCode>
                <c:ptCount val="7"/>
                <c:pt idx="0">
                  <c:v>75.3</c:v>
                </c:pt>
                <c:pt idx="1">
                  <c:v>75.5625</c:v>
                </c:pt>
                <c:pt idx="2">
                  <c:v>75.6875</c:v>
                </c:pt>
                <c:pt idx="3">
                  <c:v>75.6125</c:v>
                </c:pt>
                <c:pt idx="4">
                  <c:v>75.6125</c:v>
                </c:pt>
                <c:pt idx="5">
                  <c:v>75.7875</c:v>
                </c:pt>
                <c:pt idx="6">
                  <c:v>75.9875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112705"/>
        <c:axId val="73294654"/>
      </c:lineChart>
      <c:catAx>
        <c:axId val="70112705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3294654"/>
        <c:crosses val="autoZero"/>
        <c:auto val="1"/>
        <c:lblAlgn val="ctr"/>
        <c:lblOffset val="100"/>
        <c:noMultiLvlLbl val="0"/>
      </c:catAx>
      <c:valAx>
        <c:axId val="732946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01127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06633081444"/>
          <c:y val="0.303069794381697"/>
          <c:w val="0.188459206045622"/>
          <c:h val="0.0843530519151401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3809301674675"/>
          <c:y val="0.0669901506373117"/>
          <c:w val="0.704762793301302"/>
          <c:h val="0.853635573580533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9048173"/>
        <c:axId val="10742689"/>
      </c:lineChart>
      <c:catAx>
        <c:axId val="99048173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0742689"/>
        <c:crosses val="autoZero"/>
        <c:auto val="1"/>
        <c:lblAlgn val="ctr"/>
        <c:lblOffset val="100"/>
        <c:noMultiLvlLbl val="0"/>
      </c:catAx>
      <c:valAx>
        <c:axId val="107426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904817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44096655316"/>
          <c:y val="0.30308516801854"/>
          <c:w val="0.188421347266281"/>
          <c:h val="0.084305062649380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664560</xdr:colOff>
      <xdr:row>39</xdr:row>
      <xdr:rowOff>160560</xdr:rowOff>
    </xdr:to>
    <xdr:graphicFrame>
      <xdr:nvGraphicFramePr>
        <xdr:cNvPr id="1" name=""/>
        <xdr:cNvGraphicFramePr/>
      </xdr:nvGraphicFramePr>
      <xdr:xfrm>
        <a:off x="11475360" y="2618280"/>
        <a:ext cx="7717320" cy="497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664560</xdr:colOff>
      <xdr:row>39</xdr:row>
      <xdr:rowOff>160560</xdr:rowOff>
    </xdr:to>
    <xdr:graphicFrame>
      <xdr:nvGraphicFramePr>
        <xdr:cNvPr id="2" name=""/>
        <xdr:cNvGraphicFramePr/>
      </xdr:nvGraphicFramePr>
      <xdr:xfrm>
        <a:off x="11475360" y="2618280"/>
        <a:ext cx="7717320" cy="497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51480</xdr:colOff>
      <xdr:row>34</xdr:row>
      <xdr:rowOff>169920</xdr:rowOff>
    </xdr:to>
    <xdr:graphicFrame>
      <xdr:nvGraphicFramePr>
        <xdr:cNvPr id="3" name=""/>
        <xdr:cNvGraphicFramePr/>
      </xdr:nvGraphicFramePr>
      <xdr:xfrm>
        <a:off x="9101160" y="1676520"/>
        <a:ext cx="7716960" cy="4970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28" activeCellId="0" sqref="I28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46175</v>
      </c>
      <c r="B1" s="6" t="n">
        <v>80.3</v>
      </c>
      <c r="D1" s="3" t="n">
        <f aca="false">B1*2.204623</f>
        <v>177.0312269</v>
      </c>
      <c r="E1" s="7"/>
      <c r="F1" s="4" t="n">
        <f aca="false">A1</f>
        <v>46175</v>
      </c>
      <c r="G1" s="7" t="s">
        <v>0</v>
      </c>
      <c r="H1" s="1" t="s">
        <v>1</v>
      </c>
      <c r="J1" s="5" t="s">
        <v>2</v>
      </c>
      <c r="K1" s="8" t="e">
        <f aca="false">INDEX(A:A, COUNTA(B:B)-7+ROW())</f>
        <v>#VALUE!</v>
      </c>
      <c r="L1" s="9" t="e">
        <f aca="false">INDEX(B:B, COUNTA(B:B)-7+ROW())</f>
        <v>#VALUE!</v>
      </c>
      <c r="M1" s="10" t="e">
        <f aca="false">INDEX(G:G, COUNTA(B:B)-7+ROW())</f>
        <v>#VALUE!</v>
      </c>
    </row>
    <row r="2" customFormat="false" ht="15" hidden="false" customHeight="false" outlineLevel="0" collapsed="false">
      <c r="A2" s="5" t="n">
        <v>46176</v>
      </c>
      <c r="B2" s="6" t="n">
        <v>77.5</v>
      </c>
      <c r="C2" s="11" t="n">
        <f aca="false">B2-B1</f>
        <v>-2.8</v>
      </c>
      <c r="D2" s="3" t="n">
        <f aca="false">B2*2.204623</f>
        <v>170.8582825</v>
      </c>
      <c r="E2" s="7" t="n">
        <f aca="false">C2*2.204623</f>
        <v>-6.17294439999999</v>
      </c>
      <c r="F2" s="4" t="n">
        <f aca="false">A2</f>
        <v>46176</v>
      </c>
      <c r="G2" s="7"/>
      <c r="K2" s="8" t="e">
        <f aca="false">INDEX(A:A, COUNTA(B:B)-7+ROW())</f>
        <v>#VALUE!</v>
      </c>
      <c r="L2" s="9" t="e">
        <f aca="false">INDEX(B:B, COUNTA(B:B)-7+ROW())</f>
        <v>#VALUE!</v>
      </c>
      <c r="M2" s="10" t="e">
        <f aca="false">INDEX(G:G, COUNTA(B:B)-7+ROW())</f>
        <v>#VALUE!</v>
      </c>
    </row>
    <row r="3" customFormat="false" ht="15" hidden="false" customHeight="false" outlineLevel="0" collapsed="false">
      <c r="A3" s="5" t="n">
        <v>46177</v>
      </c>
      <c r="B3" s="6" t="n">
        <v>77</v>
      </c>
      <c r="C3" s="11" t="n">
        <f aca="false">B3-B2</f>
        <v>-0.5</v>
      </c>
      <c r="D3" s="3" t="n">
        <f aca="false">B3*2.204623</f>
        <v>169.755971</v>
      </c>
      <c r="E3" s="7" t="n">
        <f aca="false">C3*2.204623</f>
        <v>-1.1023115</v>
      </c>
      <c r="F3" s="4" t="n">
        <f aca="false">A3</f>
        <v>46177</v>
      </c>
      <c r="G3" s="7"/>
      <c r="K3" s="8" t="n">
        <f aca="false">INDEX(A:A, COUNTA(B:B)-7+ROW())</f>
        <v>46177</v>
      </c>
      <c r="L3" s="9" t="n">
        <f aca="false">INDEX(B:B, COUNTA(B:B)-7+ROW())</f>
        <v>77</v>
      </c>
      <c r="M3" s="10" t="n">
        <f aca="false">INDEX(G:G, COUNTA(B:B)-7+ROW())</f>
        <v>0</v>
      </c>
    </row>
    <row r="4" customFormat="false" ht="15" hidden="false" customHeight="false" outlineLevel="0" collapsed="false">
      <c r="A4" s="5" t="n">
        <v>46178</v>
      </c>
      <c r="B4" s="6" t="n">
        <v>76.6</v>
      </c>
      <c r="C4" s="11" t="n">
        <f aca="false">B4-B3</f>
        <v>-0.400000000000006</v>
      </c>
      <c r="D4" s="3" t="n">
        <f aca="false">B4*2.204623</f>
        <v>168.8741218</v>
      </c>
      <c r="E4" s="7" t="n">
        <f aca="false">C4*2.204623</f>
        <v>-0.881849200000013</v>
      </c>
      <c r="F4" s="4" t="n">
        <f aca="false">A4</f>
        <v>46178</v>
      </c>
      <c r="G4" s="7"/>
      <c r="H4" s="6"/>
      <c r="I4" s="12" t="e">
        <f aca="true">MEDIAN(OFFSET(B1, COUNTA(B:B)-7, 0, 7))</f>
        <v>#VALUE!</v>
      </c>
      <c r="K4" s="8" t="n">
        <f aca="false">INDEX(A:A, COUNTA(B:B)-7+ROW())</f>
        <v>46175</v>
      </c>
      <c r="L4" s="9" t="n">
        <f aca="false">INDEX(B:B, COUNTA(B:B)-7+ROW())</f>
        <v>80.3</v>
      </c>
      <c r="M4" s="10" t="str">
        <f aca="false">INDEX(G:G, COUNTA(B:B)-7+ROW())</f>
        <v>7 day average</v>
      </c>
    </row>
    <row r="5" customFormat="false" ht="15" hidden="false" customHeight="false" outlineLevel="0" collapsed="false">
      <c r="A5" s="5" t="n">
        <v>46179</v>
      </c>
      <c r="B5" s="6"/>
      <c r="C5" s="11" t="n">
        <f aca="false">B5-B4</f>
        <v>-76.6</v>
      </c>
      <c r="D5" s="3" t="n">
        <f aca="false">B5*2.204623</f>
        <v>0</v>
      </c>
      <c r="E5" s="7" t="n">
        <f aca="false">C5*2.204623</f>
        <v>-168.8741218</v>
      </c>
      <c r="F5" s="4" t="n">
        <f aca="false">A5</f>
        <v>46179</v>
      </c>
      <c r="G5" s="7"/>
      <c r="I5" s="12" t="e">
        <f aca="true">AVERAGE(OFFSET(B1, COUNTA(B:B)-7, 0, 7))</f>
        <v>#VALUE!</v>
      </c>
      <c r="K5" s="8" t="n">
        <f aca="false">INDEX(A:A, COUNTA(B:B)-7+ROW())</f>
        <v>46176</v>
      </c>
      <c r="L5" s="9" t="n">
        <f aca="false">INDEX(B:B, COUNTA(B:B)-7+ROW())</f>
        <v>77.5</v>
      </c>
      <c r="M5" s="10" t="n">
        <f aca="false">INDEX(G:G, COUNTA(B:B)-7+ROW())</f>
        <v>0</v>
      </c>
    </row>
    <row r="6" customFormat="false" ht="15" hidden="false" customHeight="false" outlineLevel="0" collapsed="false">
      <c r="A6" s="5" t="n">
        <v>46180</v>
      </c>
      <c r="B6" s="6"/>
      <c r="C6" s="11" t="n">
        <f aca="false">B6-B5</f>
        <v>0</v>
      </c>
      <c r="D6" s="3" t="n">
        <f aca="false">B6*2.204623</f>
        <v>0</v>
      </c>
      <c r="E6" s="7" t="n">
        <f aca="false">C6*2.204623</f>
        <v>0</v>
      </c>
      <c r="F6" s="4" t="n">
        <f aca="false">A6</f>
        <v>46180</v>
      </c>
      <c r="G6" s="7"/>
      <c r="H6" s="6"/>
      <c r="K6" s="8" t="n">
        <f aca="false">INDEX(A:A, COUNTA(B:B)-7+ROW())</f>
        <v>46177</v>
      </c>
      <c r="L6" s="9" t="n">
        <f aca="false">INDEX(B:B, COUNTA(B:B)-7+ROW())</f>
        <v>77</v>
      </c>
      <c r="M6" s="10" t="n">
        <f aca="false">INDEX(G:G, COUNTA(B:B)-7+ROW())</f>
        <v>0</v>
      </c>
    </row>
    <row r="7" customFormat="false" ht="15" hidden="false" customHeight="false" outlineLevel="0" collapsed="false">
      <c r="A7" s="5" t="n">
        <v>46181</v>
      </c>
      <c r="B7" s="6"/>
      <c r="C7" s="11" t="n">
        <f aca="false">B7-B6</f>
        <v>0</v>
      </c>
      <c r="D7" s="3" t="n">
        <f aca="false">B7*2.204623</f>
        <v>0</v>
      </c>
      <c r="E7" s="7" t="n">
        <f aca="false">C7*2.204623</f>
        <v>0</v>
      </c>
      <c r="F7" s="4" t="n">
        <f aca="false">A7</f>
        <v>46181</v>
      </c>
      <c r="G7" s="7"/>
      <c r="H7" s="6"/>
      <c r="I7" s="3" t="n">
        <v>70</v>
      </c>
      <c r="K7" s="8" t="n">
        <f aca="false">INDEX(A:A, COUNTA(B:B)-7+ROW())</f>
        <v>46178</v>
      </c>
      <c r="L7" s="9" t="n">
        <f aca="false">INDEX(B:B, COUNTA(B:B)-7+ROW())</f>
        <v>76.6</v>
      </c>
      <c r="M7" s="10" t="n">
        <f aca="false">INDEX(G:G, COUNTA(B:B)-7+ROW())</f>
        <v>0</v>
      </c>
    </row>
    <row r="8" customFormat="false" ht="15" hidden="false" customHeight="false" outlineLevel="0" collapsed="false">
      <c r="A8" s="5" t="n">
        <v>46182</v>
      </c>
      <c r="B8" s="6"/>
      <c r="C8" s="11" t="n">
        <f aca="false">B8-B7</f>
        <v>0</v>
      </c>
      <c r="D8" s="3" t="n">
        <f aca="false">B8*2.204623</f>
        <v>0</v>
      </c>
      <c r="E8" s="7" t="n">
        <f aca="false">C8*2.204623</f>
        <v>0</v>
      </c>
      <c r="F8" s="4" t="n">
        <f aca="false">A8</f>
        <v>46182</v>
      </c>
      <c r="G8" s="7"/>
    </row>
    <row r="9" customFormat="false" ht="15" hidden="false" customHeight="false" outlineLevel="0" collapsed="false">
      <c r="A9" s="5" t="n">
        <v>46183</v>
      </c>
      <c r="B9" s="6"/>
      <c r="C9" s="11" t="n">
        <f aca="false">B9-B8</f>
        <v>0</v>
      </c>
      <c r="D9" s="3" t="n">
        <f aca="false">B9*2.204623</f>
        <v>0</v>
      </c>
      <c r="E9" s="7" t="n">
        <f aca="false">C9*2.204623</f>
        <v>0</v>
      </c>
      <c r="F9" s="4" t="n">
        <f aca="false">A9</f>
        <v>46183</v>
      </c>
      <c r="G9" s="7" t="n">
        <f aca="false">AVERAGE(B2:B9)</f>
        <v>77.0333333333333</v>
      </c>
      <c r="H9" s="6"/>
      <c r="I9" s="1" t="s">
        <v>3</v>
      </c>
      <c r="J9" s="3" t="n">
        <v>1000</v>
      </c>
    </row>
    <row r="10" customFormat="false" ht="15" hidden="false" customHeight="false" outlineLevel="0" collapsed="false">
      <c r="A10" s="5" t="n">
        <v>46184</v>
      </c>
      <c r="B10" s="6"/>
      <c r="C10" s="11" t="n">
        <f aca="false">B10-B9</f>
        <v>0</v>
      </c>
      <c r="D10" s="3" t="n">
        <f aca="false">B10*2.204623</f>
        <v>0</v>
      </c>
      <c r="E10" s="7" t="n">
        <f aca="false">C10*2.204623</f>
        <v>0</v>
      </c>
      <c r="F10" s="4" t="n">
        <f aca="false">A10</f>
        <v>46184</v>
      </c>
      <c r="G10" s="7" t="n">
        <f aca="false">AVERAGE(B3:B10)</f>
        <v>76.8</v>
      </c>
      <c r="H10" s="6"/>
      <c r="I10" s="1" t="s">
        <v>4</v>
      </c>
      <c r="J10" s="3" t="e">
        <f aca="false">((I5 - I7) * 7000) / J9</f>
        <v>#VALUE!</v>
      </c>
    </row>
    <row r="11" customFormat="false" ht="15" hidden="false" customHeight="false" outlineLevel="0" collapsed="false">
      <c r="A11" s="5" t="n">
        <v>46185</v>
      </c>
      <c r="C11" s="11" t="n">
        <f aca="false">B11-B10</f>
        <v>0</v>
      </c>
      <c r="D11" s="3" t="n">
        <f aca="false">B11*2.204623</f>
        <v>0</v>
      </c>
      <c r="E11" s="7" t="n">
        <f aca="false">C11*2.204623</f>
        <v>0</v>
      </c>
      <c r="F11" s="4" t="n">
        <f aca="false">A11</f>
        <v>46185</v>
      </c>
      <c r="G11" s="7" t="n">
        <f aca="false">AVERAGE(B4:B11)</f>
        <v>76.6</v>
      </c>
    </row>
    <row r="12" customFormat="false" ht="15" hidden="false" customHeight="false" outlineLevel="0" collapsed="false">
      <c r="A12" s="5" t="n">
        <v>46186</v>
      </c>
      <c r="C12" s="11" t="n">
        <f aca="false">B12-B11</f>
        <v>0</v>
      </c>
      <c r="D12" s="3" t="n">
        <f aca="false">B12*2.204623</f>
        <v>0</v>
      </c>
      <c r="E12" s="7" t="n">
        <f aca="false">C12*2.204623</f>
        <v>0</v>
      </c>
      <c r="F12" s="4" t="n">
        <f aca="false">A12</f>
        <v>46186</v>
      </c>
      <c r="G12" s="7" t="e">
        <f aca="false">AVERAGE(B5:B12)</f>
        <v>#DIV/0!</v>
      </c>
    </row>
    <row r="13" customFormat="false" ht="15" hidden="false" customHeight="false" outlineLevel="0" collapsed="false">
      <c r="A13" s="5" t="n">
        <v>46187</v>
      </c>
      <c r="C13" s="11" t="n">
        <f aca="false">B13-B12</f>
        <v>0</v>
      </c>
      <c r="D13" s="3" t="n">
        <f aca="false">B13*2.204623</f>
        <v>0</v>
      </c>
      <c r="E13" s="7" t="n">
        <f aca="false">C13*2.204623</f>
        <v>0</v>
      </c>
      <c r="F13" s="4" t="n">
        <f aca="false">A13</f>
        <v>46187</v>
      </c>
      <c r="G13" s="7" t="e">
        <f aca="false">AVERAGE(B6:B13)</f>
        <v>#DIV/0!</v>
      </c>
    </row>
    <row r="14" customFormat="false" ht="15" hidden="false" customHeight="false" outlineLevel="0" collapsed="false">
      <c r="A14" s="5" t="n">
        <v>46188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46188</v>
      </c>
      <c r="G14" s="7" t="e">
        <f aca="false">AVERAGE(B7:B14)</f>
        <v>#DIV/0!</v>
      </c>
    </row>
    <row r="15" customFormat="false" ht="15" hidden="false" customHeight="false" outlineLevel="0" collapsed="false">
      <c r="A15" s="5" t="n">
        <v>46189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46189</v>
      </c>
      <c r="G15" s="7" t="e">
        <f aca="false">AVERAGE(B8:B15)</f>
        <v>#DIV/0!</v>
      </c>
    </row>
    <row r="16" customFormat="false" ht="15" hidden="false" customHeight="false" outlineLevel="0" collapsed="false">
      <c r="A16" s="5" t="n">
        <v>46190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46190</v>
      </c>
      <c r="G16" s="7" t="e">
        <f aca="false">AVERAGE(B9:B16)</f>
        <v>#DIV/0!</v>
      </c>
    </row>
    <row r="17" customFormat="false" ht="15" hidden="false" customHeight="false" outlineLevel="0" collapsed="false">
      <c r="A17" s="5" t="n">
        <v>46191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46191</v>
      </c>
      <c r="G17" s="7" t="e">
        <f aca="false">AVERAGE(B10:B17)</f>
        <v>#DIV/0!</v>
      </c>
    </row>
    <row r="18" customFormat="false" ht="15" hidden="false" customHeight="false" outlineLevel="0" collapsed="false">
      <c r="A18" s="5" t="n">
        <v>46192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46192</v>
      </c>
      <c r="G18" s="7" t="e">
        <f aca="false">AVERAGE(B11:B18)</f>
        <v>#DIV/0!</v>
      </c>
    </row>
    <row r="19" customFormat="false" ht="15" hidden="false" customHeight="false" outlineLevel="0" collapsed="false">
      <c r="A19" s="5" t="n">
        <v>46193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46193</v>
      </c>
      <c r="G19" s="7" t="e">
        <f aca="false">AVERAGE(B12:B19)</f>
        <v>#DIV/0!</v>
      </c>
      <c r="H19" s="5"/>
    </row>
    <row r="20" customFormat="false" ht="15" hidden="false" customHeight="false" outlineLevel="0" collapsed="false">
      <c r="A20" s="5" t="n">
        <v>46194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46194</v>
      </c>
      <c r="G20" s="7" t="e">
        <f aca="false">AVERAGE(B13:B20)</f>
        <v>#DIV/0!</v>
      </c>
      <c r="H20" s="5"/>
    </row>
    <row r="21" customFormat="false" ht="15" hidden="false" customHeight="false" outlineLevel="0" collapsed="false">
      <c r="A21" s="5" t="n">
        <v>46195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46195</v>
      </c>
      <c r="G21" s="7" t="e">
        <f aca="false">AVERAGE(B14:B21)</f>
        <v>#DIV/0!</v>
      </c>
      <c r="H21" s="5"/>
    </row>
    <row r="22" customFormat="false" ht="15" hidden="false" customHeight="false" outlineLevel="0" collapsed="false">
      <c r="A22" s="5" t="n">
        <v>46196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46196</v>
      </c>
      <c r="G22" s="7" t="e">
        <f aca="false">AVERAGE(B15:B22)</f>
        <v>#DIV/0!</v>
      </c>
      <c r="H22" s="5"/>
    </row>
    <row r="23" customFormat="false" ht="15" hidden="false" customHeight="false" outlineLevel="0" collapsed="false">
      <c r="A23" s="5" t="n">
        <v>46197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46197</v>
      </c>
      <c r="G23" s="7" t="e">
        <f aca="false">AVERAGE(B16:B23)</f>
        <v>#DIV/0!</v>
      </c>
      <c r="H23" s="5"/>
    </row>
    <row r="24" customFormat="false" ht="15" hidden="false" customHeight="false" outlineLevel="0" collapsed="false">
      <c r="A24" s="5" t="n">
        <v>46198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46198</v>
      </c>
      <c r="G24" s="7" t="e">
        <f aca="false">AVERAGE(B17:B24)</f>
        <v>#DIV/0!</v>
      </c>
      <c r="H24" s="5"/>
    </row>
    <row r="25" customFormat="false" ht="15" hidden="false" customHeight="false" outlineLevel="0" collapsed="false">
      <c r="A25" s="5" t="n">
        <v>46199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46199</v>
      </c>
      <c r="G25" s="7" t="e">
        <f aca="false">AVERAGE(B18:B25)</f>
        <v>#DIV/0!</v>
      </c>
      <c r="H25" s="5"/>
    </row>
    <row r="26" customFormat="false" ht="15" hidden="false" customHeight="false" outlineLevel="0" collapsed="false">
      <c r="A26" s="5" t="n">
        <v>46200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46200</v>
      </c>
      <c r="G26" s="7" t="e">
        <f aca="false">AVERAGE(B19:B26)</f>
        <v>#DIV/0!</v>
      </c>
      <c r="H26" s="5"/>
    </row>
    <row r="27" customFormat="false" ht="15" hidden="false" customHeight="false" outlineLevel="0" collapsed="false">
      <c r="A27" s="5" t="n">
        <v>46201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46201</v>
      </c>
      <c r="G27" s="7" t="e">
        <f aca="false">AVERAGE(B20:B27)</f>
        <v>#DIV/0!</v>
      </c>
      <c r="H27" s="5"/>
    </row>
    <row r="28" customFormat="false" ht="15" hidden="false" customHeight="false" outlineLevel="0" collapsed="false">
      <c r="A28" s="5" t="n">
        <v>46202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46202</v>
      </c>
      <c r="G28" s="7" t="e">
        <f aca="false">AVERAGE(B21:B28)</f>
        <v>#DIV/0!</v>
      </c>
      <c r="H28" s="5"/>
    </row>
    <row r="29" customFormat="false" ht="15" hidden="false" customHeight="false" outlineLevel="0" collapsed="false">
      <c r="A29" s="5" t="n">
        <v>46203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46203</v>
      </c>
      <c r="G29" s="7" t="e">
        <f aca="false">AVERAGE(B22:B29)</f>
        <v>#DIV/0!</v>
      </c>
      <c r="H29" s="5"/>
    </row>
    <row r="30" customFormat="false" ht="15" hidden="false" customHeight="false" outlineLevel="0" collapsed="false">
      <c r="A30" s="5" t="n">
        <v>46204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46204</v>
      </c>
      <c r="G30" s="7" t="e">
        <f aca="false">AVERAGE(B23:B30)</f>
        <v>#DIV/0!</v>
      </c>
      <c r="H30" s="5"/>
      <c r="L30" s="6"/>
    </row>
    <row r="31" customFormat="false" ht="15" hidden="false" customHeight="false" outlineLevel="0" collapsed="false">
      <c r="A31" s="5" t="n">
        <v>46205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46205</v>
      </c>
      <c r="G31" s="7" t="e">
        <f aca="false">AVERAGE(B24:B31)</f>
        <v>#DIV/0!</v>
      </c>
      <c r="H31" s="5"/>
    </row>
    <row r="32" customFormat="false" ht="15" hidden="false" customHeight="false" outlineLevel="0" collapsed="false">
      <c r="A32" s="5" t="n">
        <v>46206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46206</v>
      </c>
      <c r="G32" s="7" t="e">
        <f aca="false">AVERAGE(B25:B32)</f>
        <v>#DIV/0!</v>
      </c>
      <c r="H32" s="5"/>
    </row>
    <row r="33" customFormat="false" ht="15" hidden="false" customHeight="false" outlineLevel="0" collapsed="false">
      <c r="A33" s="5" t="n">
        <v>46207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46207</v>
      </c>
      <c r="G33" s="7" t="e">
        <f aca="false">AVERAGE(B26:B33)</f>
        <v>#DIV/0!</v>
      </c>
      <c r="H33" s="5"/>
    </row>
    <row r="34" customFormat="false" ht="15" hidden="false" customHeight="false" outlineLevel="0" collapsed="false">
      <c r="A34" s="5" t="n">
        <v>46208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46208</v>
      </c>
      <c r="G34" s="7" t="e">
        <f aca="false">AVERAGE(B27:B34)</f>
        <v>#DIV/0!</v>
      </c>
      <c r="H34" s="5"/>
    </row>
    <row r="35" customFormat="false" ht="15" hidden="false" customHeight="false" outlineLevel="0" collapsed="false">
      <c r="A35" s="5" t="n">
        <v>46209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46209</v>
      </c>
      <c r="G35" s="7" t="e">
        <f aca="false">AVERAGE(B28:B35)</f>
        <v>#DIV/0!</v>
      </c>
      <c r="H35" s="5"/>
    </row>
    <row r="36" customFormat="false" ht="15" hidden="false" customHeight="false" outlineLevel="0" collapsed="false">
      <c r="A36" s="5"/>
      <c r="C36" s="11"/>
      <c r="E36" s="7"/>
      <c r="F36" s="4"/>
      <c r="G36" s="7"/>
    </row>
    <row r="37" customFormat="false" ht="15" hidden="false" customHeight="false" outlineLevel="0" collapsed="false">
      <c r="A37" s="5"/>
      <c r="C37" s="11"/>
      <c r="E37" s="7"/>
      <c r="F37" s="4"/>
      <c r="G37" s="7"/>
    </row>
    <row r="38" customFormat="false" ht="15" hidden="false" customHeight="false" outlineLevel="0" collapsed="false">
      <c r="A38" s="5"/>
      <c r="C38" s="11"/>
      <c r="E38" s="7"/>
      <c r="F38" s="4"/>
      <c r="G38" s="7"/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  <c r="I80" s="6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  <row r="91" customFormat="false" ht="15" hidden="false" customHeight="true" outlineLevel="0" collapsed="false">
      <c r="A91" s="5"/>
      <c r="C91" s="11"/>
      <c r="E91" s="7"/>
      <c r="F91" s="4"/>
      <c r="G91" s="7"/>
    </row>
    <row r="92" customFormat="false" ht="15" hidden="false" customHeight="true" outlineLevel="0" collapsed="false">
      <c r="A92" s="5"/>
      <c r="C92" s="11"/>
      <c r="E92" s="7"/>
      <c r="F92" s="4"/>
      <c r="G92" s="7"/>
    </row>
    <row r="93" customFormat="false" ht="15" hidden="false" customHeight="true" outlineLevel="0" collapsed="false">
      <c r="A93" s="5"/>
      <c r="C93" s="11"/>
      <c r="E93" s="7"/>
      <c r="F93" s="4"/>
      <c r="G93" s="7"/>
    </row>
    <row r="94" customFormat="false" ht="15" hidden="false" customHeight="true" outlineLevel="0" collapsed="false">
      <c r="A94" s="5"/>
      <c r="C94" s="11"/>
      <c r="E94" s="7"/>
      <c r="F94" s="4"/>
      <c r="G94" s="7"/>
    </row>
    <row r="95" customFormat="false" ht="15" hidden="false" customHeight="true" outlineLevel="0" collapsed="false">
      <c r="A95" s="5"/>
      <c r="C95" s="11"/>
      <c r="E95" s="7"/>
      <c r="F95" s="4"/>
      <c r="G95" s="7"/>
    </row>
    <row r="96" customFormat="false" ht="15" hidden="false" customHeight="true" outlineLevel="0" collapsed="false">
      <c r="A96" s="5"/>
      <c r="C96" s="11"/>
      <c r="E96" s="7"/>
      <c r="F96" s="4"/>
      <c r="G96" s="7"/>
    </row>
    <row r="97" customFormat="false" ht="15" hidden="false" customHeight="true" outlineLevel="0" collapsed="false">
      <c r="A97" s="5"/>
      <c r="C97" s="11"/>
      <c r="E97" s="7"/>
      <c r="F97" s="4"/>
      <c r="G97" s="7"/>
    </row>
    <row r="98" customFormat="false" ht="15" hidden="false" customHeight="true" outlineLevel="0" collapsed="false">
      <c r="A98" s="5"/>
      <c r="C98" s="11"/>
      <c r="E98" s="7"/>
      <c r="F98" s="4"/>
      <c r="G98" s="7"/>
    </row>
    <row r="99" customFormat="false" ht="15" hidden="false" customHeight="true" outlineLevel="0" collapsed="false">
      <c r="A99" s="5"/>
      <c r="C99" s="11"/>
      <c r="E99" s="7"/>
      <c r="F99" s="4"/>
      <c r="G99" s="7"/>
    </row>
    <row r="100" customFormat="false" ht="15" hidden="false" customHeight="true" outlineLevel="0" collapsed="false">
      <c r="A100" s="5"/>
      <c r="C100" s="11"/>
      <c r="E100" s="7"/>
      <c r="F100" s="4"/>
      <c r="G100" s="7"/>
    </row>
    <row r="101" customFormat="false" ht="15" hidden="false" customHeight="true" outlineLevel="0" collapsed="false">
      <c r="A101" s="5"/>
      <c r="C101" s="11"/>
      <c r="E101" s="7"/>
      <c r="F101" s="4"/>
      <c r="G101" s="7"/>
    </row>
    <row r="102" customFormat="false" ht="15" hidden="false" customHeight="true" outlineLevel="0" collapsed="false">
      <c r="A102" s="5"/>
      <c r="C102" s="11"/>
      <c r="E102" s="7"/>
      <c r="F102" s="4"/>
      <c r="G102" s="7"/>
    </row>
    <row r="103" customFormat="false" ht="15" hidden="false" customHeight="true" outlineLevel="0" collapsed="false">
      <c r="A103" s="5"/>
      <c r="C103" s="11"/>
      <c r="E103" s="7"/>
      <c r="F103" s="4"/>
      <c r="G103" s="7"/>
    </row>
    <row r="104" customFormat="false" ht="15" hidden="false" customHeight="true" outlineLevel="0" collapsed="false">
      <c r="A104" s="5"/>
      <c r="C104" s="11"/>
      <c r="E104" s="7"/>
      <c r="F104" s="4"/>
      <c r="G104" s="7"/>
    </row>
    <row r="105" customFormat="false" ht="15" hidden="false" customHeight="true" outlineLevel="0" collapsed="false">
      <c r="A105" s="5"/>
      <c r="C105" s="11"/>
      <c r="E105" s="7"/>
      <c r="F105" s="4"/>
      <c r="G105" s="7"/>
    </row>
    <row r="106" customFormat="false" ht="15" hidden="false" customHeight="true" outlineLevel="0" collapsed="false">
      <c r="A106" s="5"/>
      <c r="C106" s="11"/>
      <c r="E106" s="7"/>
      <c r="F106" s="4"/>
      <c r="G106" s="7"/>
    </row>
    <row r="107" customFormat="false" ht="15" hidden="false" customHeight="true" outlineLevel="0" collapsed="false">
      <c r="A107" s="5"/>
      <c r="C107" s="11"/>
      <c r="E107" s="7"/>
      <c r="F107" s="4"/>
      <c r="G107" s="7"/>
    </row>
    <row r="108" customFormat="false" ht="15" hidden="false" customHeight="true" outlineLevel="0" collapsed="false">
      <c r="A108" s="5"/>
      <c r="C108" s="11"/>
      <c r="E108" s="7"/>
      <c r="F108" s="4"/>
      <c r="G108" s="7"/>
    </row>
    <row r="109" customFormat="false" ht="15" hidden="false" customHeight="true" outlineLevel="0" collapsed="false">
      <c r="A109" s="5"/>
      <c r="C109" s="11"/>
      <c r="E109" s="7"/>
      <c r="F109" s="4"/>
      <c r="G109" s="7"/>
    </row>
    <row r="110" customFormat="false" ht="15" hidden="false" customHeight="true" outlineLevel="0" collapsed="false">
      <c r="A110" s="5"/>
      <c r="C110" s="11"/>
      <c r="E110" s="7"/>
      <c r="F110" s="4"/>
      <c r="G110" s="7"/>
    </row>
    <row r="111" customFormat="false" ht="15" hidden="false" customHeight="true" outlineLevel="0" collapsed="false">
      <c r="A111" s="5"/>
      <c r="C111" s="11"/>
      <c r="E111" s="7"/>
      <c r="F111" s="4"/>
      <c r="G111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  <x14:sparkline>
              <xm:f>Sheet1!B2</xm:f>
              <xm:sqref>A2</xm:sqref>
            </x14:sparkline>
            <x14:sparkline>
              <xm:f>Sheet1!B3</xm:f>
              <xm:sqref>A3</xm:sqref>
            </x14:sparkline>
            <x14:sparkline>
              <xm:f>Sheet1!B4</xm:f>
              <xm:sqref>A4</xm:sqref>
            </x14:sparkline>
            <x14:sparkline>
              <xm:f>Sheet1!B5</xm:f>
              <xm:sqref>A5</xm:sqref>
            </x14:sparkline>
            <x14:sparkline>
              <xm:f>Sheet1!B6</xm:f>
              <xm:sqref>A6</xm:sqref>
            </x14:sparkline>
            <x14:sparkline>
              <xm:f>Sheet1!B7</xm:f>
              <xm:sqref>A7</xm:sqref>
            </x14:sparkline>
            <x14:sparkline>
              <xm:f>Sheet1!B8</xm:f>
              <xm:sqref>A8</xm:sqref>
            </x14:sparkline>
            <x14:sparkline>
              <xm:f>Sheet1!B9</xm:f>
              <xm:sqref>A9</xm:sqref>
            </x14:sparkline>
            <x14:sparkline>
              <xm:f>Sheet1!B10</xm:f>
              <xm:sqref>A10</xm:sqref>
            </x14:sparkline>
            <x14:sparkline>
              <xm:f>Sheet1!B11</xm:f>
              <xm:sqref>A11</xm:sqref>
            </x14:sparkline>
            <x14:sparkline>
              <xm:f>Sheet1!B12</xm:f>
              <xm:sqref>A12</xm:sqref>
            </x14:sparkline>
            <x14:sparkline>
              <xm:f>Sheet1!B13</xm:f>
              <xm:sqref>A13</xm:sqref>
            </x14:sparkline>
            <x14:sparkline>
              <xm:f>Sheet1!B14</xm:f>
              <xm:sqref>A14</xm:sqref>
            </x14:sparkline>
            <x14:sparkline>
              <xm:f>Sheet1!B15</xm:f>
              <xm:sqref>A15</xm:sqref>
            </x14:sparkline>
            <x14:sparkline>
              <xm:f>Sheet1!B16</xm:f>
              <xm:sqref>A16</xm:sqref>
            </x14:sparkline>
            <x14:sparkline>
              <xm:f>Sheet1!B17</xm:f>
              <xm:sqref>A17</xm:sqref>
            </x14:sparkline>
            <x14:sparkline>
              <xm:f>Sheet1!B18</xm:f>
              <xm:sqref>A18</xm:sqref>
            </x14:sparkline>
            <x14:sparkline>
              <xm:f>Sheet1!B19</xm:f>
              <xm:sqref>A20</xm:sqref>
            </x14:sparkline>
            <x14:sparkline>
              <xm:f>Sheet1!B20</xm:f>
              <xm:sqref>A21</xm:sqref>
            </x14:sparkline>
            <x14:sparkline>
              <xm:f>Sheet1!B21</xm:f>
              <xm:sqref>A22</xm:sqref>
            </x14:sparkline>
            <x14:sparkline>
              <xm:f>Sheet1!B22</xm:f>
              <xm:sqref>A23</xm:sqref>
            </x14:sparkline>
            <x14:sparkline>
              <xm:f>Sheet1!B23</xm:f>
              <xm:sqref>A24</xm:sqref>
            </x14:sparkline>
            <x14:sparkline>
              <xm:f>Sheet1!B24</xm:f>
              <xm:sqref>A25</xm:sqref>
            </x14:sparkline>
            <x14:sparkline>
              <xm:f>Sheet1!B25</xm:f>
              <xm:sqref>A26</xm:sqref>
            </x14:sparkline>
            <x14:sparkline>
              <xm:f>Sheet1!B26</xm:f>
              <xm:sqref>A27</xm:sqref>
            </x14:sparkline>
            <x14:sparkline>
              <xm:f>Sheet1!B27</xm:f>
              <xm:sqref>A28</xm:sqref>
            </x14:sparkline>
            <x14:sparkline>
              <xm:f>Sheet1!B28</xm:f>
              <xm:sqref>A29</xm:sqref>
            </x14:sparkline>
            <x14:sparkline>
              <xm:f>Sheet1!B29</xm:f>
              <xm:sqref>A30</xm:sqref>
            </x14:sparkline>
            <x14:sparkline>
              <xm:f>Sheet1!B30</xm:f>
              <xm:sqref>A31</xm:sqref>
            </x14:sparkline>
            <x14:sparkline>
              <xm:f>Sheet1!B31</xm:f>
              <xm:sqref>A32</xm:sqref>
            </x14:sparkline>
            <x14:sparkline>
              <xm:f>Sheet1!B32</xm:f>
              <xm:sqref>A33</xm:sqref>
            </x14:sparkline>
            <x14:sparkline>
              <xm:f>Sheet1!B33</xm:f>
              <xm:sqref>A34</xm:sqref>
            </x14:sparkline>
            <x14:sparkline>
              <xm:f>Sheet1!B34</xm:f>
              <xm:sqref>A35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5" activeCellId="0" sqref="A5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5</v>
      </c>
      <c r="J1" s="5" t="s">
        <v>2</v>
      </c>
      <c r="K1" s="8" t="n">
        <f aca="false">INDEX(A:A, COUNTA(B:B)-7+ROW())</f>
        <v>46143</v>
      </c>
      <c r="L1" s="9" t="n">
        <f aca="false">INDEX(B:B, COUNTA(B:B)-7+ROW())</f>
        <v>76</v>
      </c>
      <c r="M1" s="10" t="n">
        <f aca="false">INDEX(G:G, COUNTA(B:B)-7+ROW())</f>
        <v>75.3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/>
      <c r="K2" s="8" t="n">
        <f aca="false">INDEX(A:A, COUNTA(B:B)-7+ROW())</f>
        <v>46144</v>
      </c>
      <c r="L2" s="9" t="n">
        <f aca="false">INDEX(B:B, COUNTA(B:B)-7+ROW())</f>
        <v>76</v>
      </c>
      <c r="M2" s="10" t="n">
        <f aca="false">INDEX(G:G, COUNTA(B:B)-7+ROW())</f>
        <v>75.5625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/>
      <c r="K3" s="8" t="n">
        <f aca="false">INDEX(A:A, COUNTA(B:B)-7+ROW())</f>
        <v>46145</v>
      </c>
      <c r="L3" s="9" t="n">
        <f aca="false">INDEX(B:B, COUNTA(B:B)-7+ROW())</f>
        <v>76</v>
      </c>
      <c r="M3" s="10" t="n">
        <f aca="false">INDEX(G:G, COUNTA(B:B)-7+ROW())</f>
        <v>75.6875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/>
      <c r="H4" s="6" t="s">
        <v>6</v>
      </c>
      <c r="I4" s="12" t="n">
        <f aca="true">MEDIAN(OFFSET(B1, COUNTA(B:B)-7, 0, 7))</f>
        <v>76</v>
      </c>
      <c r="K4" s="8" t="n">
        <f aca="false">INDEX(A:A, COUNTA(B:B)-7+ROW())</f>
        <v>46146</v>
      </c>
      <c r="L4" s="9" t="n">
        <f aca="false">INDEX(B:B, COUNTA(B:B)-7+ROW())</f>
        <v>76</v>
      </c>
      <c r="M4" s="10" t="n">
        <f aca="false">INDEX(G:G, COUNTA(B:B)-7+ROW())</f>
        <v>75.6125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/>
      <c r="H5" s="1" t="s">
        <v>0</v>
      </c>
      <c r="I5" s="12" t="n">
        <f aca="true">AVERAGE(OFFSET(B1, COUNTA(B:B)-7, 0, 7))</f>
        <v>76.2285714285714</v>
      </c>
      <c r="K5" s="8" t="n">
        <f aca="false">INDEX(A:A, COUNTA(B:B)-7+ROW())</f>
        <v>46147</v>
      </c>
      <c r="L5" s="9" t="n">
        <f aca="false">INDEX(B:B, COUNTA(B:B)-7+ROW())</f>
        <v>76</v>
      </c>
      <c r="M5" s="10" t="n">
        <f aca="false">INDEX(G:G, COUNTA(B:B)-7+ROW())</f>
        <v>75.6125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/>
      <c r="H6" s="6"/>
      <c r="K6" s="8" t="n">
        <f aca="false">INDEX(A:A, COUNTA(B:B)-7+ROW())</f>
        <v>46148</v>
      </c>
      <c r="L6" s="9" t="n">
        <f aca="false">INDEX(B:B, COUNTA(B:B)-7+ROW())</f>
        <v>77</v>
      </c>
      <c r="M6" s="10" t="n">
        <f aca="false">INDEX(G:G, COUNTA(B:B)-7+ROW())</f>
        <v>75.7875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/>
      <c r="H7" s="6" t="s">
        <v>7</v>
      </c>
      <c r="I7" s="3" t="n">
        <v>70</v>
      </c>
      <c r="K7" s="8" t="n">
        <f aca="false">INDEX(A:A, COUNTA(B:B)-7+ROW())</f>
        <v>46149</v>
      </c>
      <c r="L7" s="9" t="n">
        <f aca="false">INDEX(B:B, COUNTA(B:B)-7+ROW())</f>
        <v>76.6</v>
      </c>
      <c r="M7" s="10" t="n">
        <f aca="false">INDEX(G:G, COUNTA(B:B)-7+ROW())</f>
        <v>75.9875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/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AVERAGE(B2:B9)</f>
        <v>77.0125</v>
      </c>
      <c r="H9" s="6" t="s">
        <v>8</v>
      </c>
      <c r="I9" s="1" t="s">
        <v>3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AVERAGE(B3:B10)</f>
        <v>76.9875</v>
      </c>
      <c r="H10" s="6" t="s">
        <v>8</v>
      </c>
      <c r="I10" s="1" t="s">
        <v>4</v>
      </c>
      <c r="J10" s="3" t="n">
        <f aca="false">((I5 - I7) * 7000) / J9</f>
        <v>43.6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AVERAGE(B4:B11)</f>
        <v>77.05</v>
      </c>
      <c r="H11" s="1" t="s">
        <v>8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AVERAGE(B5:B12)</f>
        <v>77.2125</v>
      </c>
      <c r="H12" s="1" t="s">
        <v>8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AVERAGE(B6:B13)</f>
        <v>77.55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AVERAGE(B7:B14)</f>
        <v>77.8125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AVERAGE(B8:B15)</f>
        <v>77.9625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AVERAGE(B9:B16)</f>
        <v>78.0875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AVERAGE(B10:B17)</f>
        <v>78.1875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AVERAGE(B11:B18)</f>
        <v>77.9375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AVERAGE(B12:B19)</f>
        <v>77.7</v>
      </c>
      <c r="H19" s="1" t="s">
        <v>9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AVERAGE(B13:B20)</f>
        <v>77.5875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AVERAGE(B14:B21)</f>
        <v>77.3125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AVERAGE(B15:B22)</f>
        <v>77.25</v>
      </c>
    </row>
    <row r="23" customFormat="false" ht="15" hidden="false" customHeight="false" outlineLevel="0" collapsed="false">
      <c r="A23" s="5" t="n">
        <v>46085</v>
      </c>
      <c r="B23" s="1" t="n">
        <v>77.8</v>
      </c>
      <c r="C23" s="11" t="n">
        <f aca="false">B23-B22</f>
        <v>-0.400000000000006</v>
      </c>
      <c r="D23" s="3" t="n">
        <f aca="false">B23*2.204623</f>
        <v>171.5196694</v>
      </c>
      <c r="E23" s="7" t="n">
        <f aca="false">C23*2.204623</f>
        <v>-0.881849200000013</v>
      </c>
      <c r="F23" s="4" t="n">
        <f aca="false">A23</f>
        <v>46085</v>
      </c>
      <c r="G23" s="7" t="n">
        <f aca="false">AVERAGE(B16:B23)</f>
        <v>77.2625</v>
      </c>
    </row>
    <row r="24" customFormat="false" ht="15" hidden="false" customHeight="false" outlineLevel="0" collapsed="false">
      <c r="A24" s="5" t="n">
        <v>46086</v>
      </c>
      <c r="B24" s="1" t="n">
        <v>76.4</v>
      </c>
      <c r="C24" s="11" t="n">
        <f aca="false">B24-B23</f>
        <v>-1.39999999999999</v>
      </c>
      <c r="D24" s="3" t="n">
        <f aca="false">B24*2.204623</f>
        <v>168.4331972</v>
      </c>
      <c r="E24" s="7" t="n">
        <f aca="false">C24*2.204623</f>
        <v>-3.08647219999998</v>
      </c>
      <c r="F24" s="4" t="n">
        <f aca="false">A24</f>
        <v>46086</v>
      </c>
      <c r="G24" s="7" t="n">
        <f aca="false">AVERAGE(B17:B24)</f>
        <v>77.125</v>
      </c>
    </row>
    <row r="25" customFormat="false" ht="15" hidden="false" customHeight="false" outlineLevel="0" collapsed="false">
      <c r="A25" s="5" t="n">
        <v>46087</v>
      </c>
      <c r="B25" s="1" t="n">
        <v>76</v>
      </c>
      <c r="C25" s="11" t="n">
        <f aca="false">B25-B24</f>
        <v>-0.400000000000006</v>
      </c>
      <c r="D25" s="3" t="n">
        <f aca="false">B25*2.204623</f>
        <v>167.551348</v>
      </c>
      <c r="E25" s="7" t="n">
        <f aca="false">C25*2.204623</f>
        <v>-0.881849200000013</v>
      </c>
      <c r="F25" s="4" t="n">
        <f aca="false">A25</f>
        <v>46087</v>
      </c>
      <c r="G25" s="7" t="n">
        <f aca="false">AVERAGE(B18:B25)</f>
        <v>76.9875</v>
      </c>
    </row>
    <row r="26" customFormat="false" ht="15" hidden="false" customHeight="false" outlineLevel="0" collapsed="false">
      <c r="A26" s="5" t="n">
        <v>46088</v>
      </c>
      <c r="B26" s="1" t="n">
        <v>75.8</v>
      </c>
      <c r="C26" s="11" t="n">
        <f aca="false">B26-B25</f>
        <v>-0.200000000000003</v>
      </c>
      <c r="D26" s="3" t="n">
        <f aca="false">B26*2.204623</f>
        <v>167.1104234</v>
      </c>
      <c r="E26" s="7" t="n">
        <f aca="false">C26*2.204623</f>
        <v>-0.440924600000006</v>
      </c>
      <c r="F26" s="4" t="n">
        <f aca="false">A26</f>
        <v>46088</v>
      </c>
      <c r="G26" s="7" t="n">
        <f aca="false">AVERAGE(B19:B26)</f>
        <v>76.9</v>
      </c>
      <c r="H26" s="1" t="s">
        <v>8</v>
      </c>
    </row>
    <row r="27" customFormat="false" ht="15" hidden="false" customHeight="false" outlineLevel="0" collapsed="false">
      <c r="A27" s="5" t="n">
        <v>46089</v>
      </c>
      <c r="B27" s="1" t="n">
        <v>77</v>
      </c>
      <c r="C27" s="11" t="n">
        <f aca="false">B27-B26</f>
        <v>1.2</v>
      </c>
      <c r="D27" s="3" t="n">
        <f aca="false">B27*2.204623</f>
        <v>169.755971</v>
      </c>
      <c r="E27" s="7" t="n">
        <f aca="false">C27*2.204623</f>
        <v>2.64554760000001</v>
      </c>
      <c r="F27" s="4" t="n">
        <f aca="false">A27</f>
        <v>46089</v>
      </c>
      <c r="G27" s="7" t="n">
        <f aca="false">AVERAGE(B20:B27)</f>
        <v>76.975</v>
      </c>
    </row>
    <row r="28" customFormat="false" ht="15" hidden="false" customHeight="false" outlineLevel="0" collapsed="false">
      <c r="A28" s="5" t="n">
        <v>46090</v>
      </c>
      <c r="B28" s="1" t="n">
        <v>76.8</v>
      </c>
      <c r="C28" s="11" t="n">
        <f aca="false">B28-B27</f>
        <v>-0.200000000000003</v>
      </c>
      <c r="D28" s="3" t="n">
        <f aca="false">B28*2.204623</f>
        <v>169.3150464</v>
      </c>
      <c r="E28" s="7" t="n">
        <f aca="false">C28*2.204623</f>
        <v>-0.440924600000006</v>
      </c>
      <c r="F28" s="4" t="n">
        <f aca="false">A28</f>
        <v>46090</v>
      </c>
      <c r="G28" s="7" t="n">
        <f aca="false">AVERAGE(B21:B28)</f>
        <v>76.8875</v>
      </c>
    </row>
    <row r="29" customFormat="false" ht="15" hidden="false" customHeight="false" outlineLevel="0" collapsed="false">
      <c r="A29" s="5" t="n">
        <v>46091</v>
      </c>
      <c r="B29" s="1" t="n">
        <v>76.4</v>
      </c>
      <c r="C29" s="11" t="n">
        <f aca="false">B29-B28</f>
        <v>-0.399999999999992</v>
      </c>
      <c r="D29" s="3" t="n">
        <f aca="false">B29*2.204623</f>
        <v>168.4331972</v>
      </c>
      <c r="E29" s="7" t="n">
        <f aca="false">C29*2.204623</f>
        <v>-0.881849199999981</v>
      </c>
      <c r="F29" s="4" t="n">
        <f aca="false">A29</f>
        <v>46091</v>
      </c>
      <c r="G29" s="7" t="n">
        <f aca="false">AVERAGE(B22:B29)</f>
        <v>76.8</v>
      </c>
    </row>
    <row r="30" customFormat="false" ht="15" hidden="false" customHeight="false" outlineLevel="0" collapsed="false">
      <c r="A30" s="5" t="n">
        <v>46092</v>
      </c>
      <c r="B30" s="1" t="n">
        <v>75.8</v>
      </c>
      <c r="C30" s="11" t="n">
        <f aca="false">B30-B29</f>
        <v>-0.600000000000009</v>
      </c>
      <c r="D30" s="3" t="n">
        <f aca="false">B30*2.204623</f>
        <v>167.1104234</v>
      </c>
      <c r="E30" s="7" t="n">
        <f aca="false">C30*2.204623</f>
        <v>-1.32277380000002</v>
      </c>
      <c r="F30" s="4" t="n">
        <f aca="false">A30</f>
        <v>46092</v>
      </c>
      <c r="G30" s="7" t="n">
        <f aca="false">AVERAGE(B23:B30)</f>
        <v>76.5</v>
      </c>
      <c r="L30" s="6"/>
    </row>
    <row r="31" customFormat="false" ht="15" hidden="false" customHeight="false" outlineLevel="0" collapsed="false">
      <c r="A31" s="5" t="n">
        <v>46093</v>
      </c>
      <c r="B31" s="1" t="n">
        <v>75.7</v>
      </c>
      <c r="C31" s="11" t="n">
        <f aca="false">B31-B30</f>
        <v>-0.0999999999999943</v>
      </c>
      <c r="D31" s="3" t="n">
        <f aca="false">B31*2.204623</f>
        <v>166.8899611</v>
      </c>
      <c r="E31" s="7" t="n">
        <f aca="false">C31*2.204623</f>
        <v>-0.220462299999987</v>
      </c>
      <c r="F31" s="4" t="n">
        <f aca="false">A31</f>
        <v>46093</v>
      </c>
      <c r="G31" s="7" t="n">
        <f aca="false">AVERAGE(B24:B31)</f>
        <v>76.2375</v>
      </c>
    </row>
    <row r="32" customFormat="false" ht="15" hidden="false" customHeight="false" outlineLevel="0" collapsed="false">
      <c r="A32" s="5" t="n">
        <v>46094</v>
      </c>
      <c r="B32" s="1" t="n">
        <v>75.3</v>
      </c>
      <c r="C32" s="11" t="n">
        <f aca="false">B32-B31</f>
        <v>-0.400000000000006</v>
      </c>
      <c r="D32" s="3" t="n">
        <f aca="false">B32*2.204623</f>
        <v>166.0081119</v>
      </c>
      <c r="E32" s="7" t="n">
        <f aca="false">C32*2.204623</f>
        <v>-0.881849200000013</v>
      </c>
      <c r="F32" s="4" t="n">
        <f aca="false">A32</f>
        <v>46094</v>
      </c>
      <c r="G32" s="7" t="n">
        <f aca="false">AVERAGE(B25:B32)</f>
        <v>76.1</v>
      </c>
    </row>
    <row r="33" customFormat="false" ht="15" hidden="false" customHeight="false" outlineLevel="0" collapsed="false">
      <c r="A33" s="5" t="n">
        <v>46095</v>
      </c>
      <c r="B33" s="1" t="n">
        <v>74.8</v>
      </c>
      <c r="C33" s="11" t="n">
        <f aca="false">B33-B32</f>
        <v>-0.5</v>
      </c>
      <c r="D33" s="3" t="n">
        <f aca="false">B33*2.204623</f>
        <v>164.9058004</v>
      </c>
      <c r="E33" s="7" t="n">
        <f aca="false">C33*2.204623</f>
        <v>-1.1023115</v>
      </c>
      <c r="F33" s="4" t="n">
        <f aca="false">A33</f>
        <v>46095</v>
      </c>
      <c r="G33" s="7" t="n">
        <f aca="false">AVERAGE(B26:B33)</f>
        <v>75.95</v>
      </c>
      <c r="H33" s="1" t="s">
        <v>8</v>
      </c>
    </row>
    <row r="34" customFormat="false" ht="15" hidden="false" customHeight="false" outlineLevel="0" collapsed="false">
      <c r="A34" s="5" t="n">
        <v>46096</v>
      </c>
      <c r="B34" s="1" t="n">
        <v>76.9</v>
      </c>
      <c r="C34" s="11" t="n">
        <f aca="false">B34-B33</f>
        <v>2.10000000000001</v>
      </c>
      <c r="D34" s="3" t="n">
        <f aca="false">B34*2.204623</f>
        <v>169.5355087</v>
      </c>
      <c r="E34" s="7" t="n">
        <f aca="false">C34*2.204623</f>
        <v>4.62970830000002</v>
      </c>
      <c r="F34" s="4" t="n">
        <f aca="false">A34</f>
        <v>46096</v>
      </c>
      <c r="G34" s="7" t="n">
        <f aca="false">AVERAGE(B27:B34)</f>
        <v>76.0875</v>
      </c>
    </row>
    <row r="35" customFormat="false" ht="15" hidden="false" customHeight="false" outlineLevel="0" collapsed="false">
      <c r="A35" s="5" t="n">
        <v>46097</v>
      </c>
      <c r="B35" s="1" t="n">
        <v>76.3</v>
      </c>
      <c r="C35" s="11" t="n">
        <f aca="false">B35-B34</f>
        <v>-0.600000000000009</v>
      </c>
      <c r="D35" s="3" t="n">
        <f aca="false">B35*2.204623</f>
        <v>168.2127349</v>
      </c>
      <c r="E35" s="7" t="n">
        <f aca="false">C35*2.204623</f>
        <v>-1.32277380000002</v>
      </c>
      <c r="F35" s="4" t="n">
        <f aca="false">A35</f>
        <v>46097</v>
      </c>
      <c r="G35" s="7" t="n">
        <f aca="false">AVERAGE(B28:B35)</f>
        <v>76</v>
      </c>
    </row>
    <row r="36" customFormat="false" ht="15" hidden="false" customHeight="false" outlineLevel="0" collapsed="false">
      <c r="A36" s="5" t="n">
        <v>46098</v>
      </c>
      <c r="B36" s="1" t="n">
        <v>75.9</v>
      </c>
      <c r="C36" s="11" t="n">
        <f aca="false">B36-B35</f>
        <v>-0.399999999999992</v>
      </c>
      <c r="D36" s="3" t="n">
        <f aca="false">B36*2.204623</f>
        <v>167.3308857</v>
      </c>
      <c r="E36" s="7" t="n">
        <f aca="false">C36*2.204623</f>
        <v>-0.881849199999981</v>
      </c>
      <c r="F36" s="4" t="n">
        <f aca="false">A36</f>
        <v>46098</v>
      </c>
      <c r="G36" s="7" t="n">
        <f aca="false">AVERAGE(B29:B36)</f>
        <v>75.8875</v>
      </c>
    </row>
    <row r="37" customFormat="false" ht="15" hidden="false" customHeight="false" outlineLevel="0" collapsed="false">
      <c r="A37" s="5" t="n">
        <v>46099</v>
      </c>
      <c r="B37" s="1" t="n">
        <v>75.9</v>
      </c>
      <c r="C37" s="11" t="n">
        <f aca="false">B37-B36</f>
        <v>0</v>
      </c>
      <c r="D37" s="3" t="n">
        <f aca="false">B37*2.204623</f>
        <v>167.3308857</v>
      </c>
      <c r="E37" s="7" t="n">
        <f aca="false">C37*2.204623</f>
        <v>0</v>
      </c>
      <c r="F37" s="4" t="n">
        <f aca="false">A37</f>
        <v>46099</v>
      </c>
      <c r="G37" s="7" t="n">
        <f aca="false">AVERAGE(B30:B37)</f>
        <v>75.825</v>
      </c>
    </row>
    <row r="38" customFormat="false" ht="15" hidden="false" customHeight="false" outlineLevel="0" collapsed="false">
      <c r="A38" s="5" t="n">
        <v>46100</v>
      </c>
      <c r="B38" s="1" t="n">
        <v>75.5</v>
      </c>
      <c r="C38" s="11" t="n">
        <f aca="false">B38-B37</f>
        <v>-0.400000000000006</v>
      </c>
      <c r="D38" s="3" t="n">
        <f aca="false">B38*2.204623</f>
        <v>166.4490365</v>
      </c>
      <c r="E38" s="7" t="n">
        <f aca="false">C38*2.204623</f>
        <v>-0.881849200000013</v>
      </c>
      <c r="F38" s="4" t="n">
        <f aca="false">A38</f>
        <v>46100</v>
      </c>
      <c r="G38" s="7" t="n">
        <f aca="false">AVERAGE(B31:B38)</f>
        <v>75.7875</v>
      </c>
    </row>
    <row r="39" customFormat="false" ht="15" hidden="false" customHeight="false" outlineLevel="0" collapsed="false">
      <c r="A39" s="5" t="n">
        <v>46101</v>
      </c>
      <c r="B39" s="1" t="n">
        <v>75</v>
      </c>
      <c r="C39" s="11" t="n">
        <f aca="false">B39-B38</f>
        <v>-0.5</v>
      </c>
      <c r="D39" s="3" t="n">
        <f aca="false">B39*2.204623</f>
        <v>165.346725</v>
      </c>
      <c r="E39" s="7" t="n">
        <f aca="false">C39*2.204623</f>
        <v>-1.1023115</v>
      </c>
      <c r="F39" s="4" t="n">
        <f aca="false">A39</f>
        <v>46101</v>
      </c>
      <c r="G39" s="7" t="n">
        <f aca="false">AVERAGE(B32:B39)</f>
        <v>75.7</v>
      </c>
    </row>
    <row r="40" customFormat="false" ht="15" hidden="false" customHeight="false" outlineLevel="0" collapsed="false">
      <c r="A40" s="5" t="n">
        <v>46102</v>
      </c>
      <c r="B40" s="1" t="n">
        <v>75.3</v>
      </c>
      <c r="C40" s="11" t="n">
        <f aca="false">B40-B39</f>
        <v>0.299999999999997</v>
      </c>
      <c r="D40" s="3" t="n">
        <f aca="false">B40*2.204623</f>
        <v>166.0081119</v>
      </c>
      <c r="E40" s="7" t="n">
        <f aca="false">C40*2.204623</f>
        <v>0.661386899999994</v>
      </c>
      <c r="F40" s="4" t="n">
        <f aca="false">A40</f>
        <v>46102</v>
      </c>
      <c r="G40" s="7" t="n">
        <f aca="false">AVERAGE(B33:B40)</f>
        <v>75.7</v>
      </c>
      <c r="H40" s="1" t="s">
        <v>8</v>
      </c>
    </row>
    <row r="41" customFormat="false" ht="15" hidden="false" customHeight="false" outlineLevel="0" collapsed="false">
      <c r="A41" s="5" t="n">
        <v>46103</v>
      </c>
      <c r="B41" s="1" t="n">
        <v>76.6</v>
      </c>
      <c r="C41" s="11" t="n">
        <f aca="false">B41-B40</f>
        <v>1.3</v>
      </c>
      <c r="D41" s="3" t="n">
        <f aca="false">B41*2.204623</f>
        <v>168.8741218</v>
      </c>
      <c r="E41" s="7" t="n">
        <f aca="false">C41*2.204623</f>
        <v>2.86600989999999</v>
      </c>
      <c r="F41" s="4" t="n">
        <f aca="false">A41</f>
        <v>46103</v>
      </c>
      <c r="G41" s="7" t="n">
        <f aca="false">AVERAGE(B34:B41)</f>
        <v>75.925</v>
      </c>
    </row>
    <row r="42" customFormat="false" ht="15" hidden="false" customHeight="false" outlineLevel="0" collapsed="false">
      <c r="A42" s="5" t="n">
        <v>46104</v>
      </c>
      <c r="B42" s="1" t="n">
        <v>75.7</v>
      </c>
      <c r="C42" s="11" t="n">
        <f aca="false">B42-B41</f>
        <v>-0.899999999999992</v>
      </c>
      <c r="D42" s="3" t="n">
        <f aca="false">B42*2.204623</f>
        <v>166.8899611</v>
      </c>
      <c r="E42" s="7" t="n">
        <f aca="false">C42*2.204623</f>
        <v>-1.98416069999998</v>
      </c>
      <c r="F42" s="4" t="n">
        <f aca="false">A42</f>
        <v>46104</v>
      </c>
      <c r="G42" s="7" t="n">
        <f aca="false">AVERAGE(B35:B42)</f>
        <v>75.775</v>
      </c>
    </row>
    <row r="43" customFormat="false" ht="15" hidden="false" customHeight="false" outlineLevel="0" collapsed="false">
      <c r="A43" s="5" t="n">
        <v>46105</v>
      </c>
      <c r="B43" s="1" t="n">
        <v>75.2</v>
      </c>
      <c r="C43" s="11" t="n">
        <f aca="false">B43-B42</f>
        <v>-0.5</v>
      </c>
      <c r="D43" s="3" t="n">
        <f aca="false">B43*2.204623</f>
        <v>165.7876496</v>
      </c>
      <c r="E43" s="7" t="n">
        <f aca="false">C43*2.204623</f>
        <v>-1.1023115</v>
      </c>
      <c r="F43" s="4" t="n">
        <f aca="false">A43</f>
        <v>46105</v>
      </c>
      <c r="G43" s="7" t="n">
        <f aca="false">AVERAGE(B36:B43)</f>
        <v>75.6375</v>
      </c>
    </row>
    <row r="44" customFormat="false" ht="15" hidden="false" customHeight="false" outlineLevel="0" collapsed="false">
      <c r="A44" s="5" t="n">
        <v>46106</v>
      </c>
      <c r="B44" s="1" t="n">
        <v>75.1</v>
      </c>
      <c r="C44" s="11" t="n">
        <f aca="false">B44-B43</f>
        <v>-0.100000000000009</v>
      </c>
      <c r="D44" s="3" t="n">
        <f aca="false">B44*2.204623</f>
        <v>165.5671873</v>
      </c>
      <c r="E44" s="7" t="n">
        <f aca="false">C44*2.204623</f>
        <v>-0.220462300000019</v>
      </c>
      <c r="F44" s="4" t="n">
        <f aca="false">A44</f>
        <v>46106</v>
      </c>
      <c r="G44" s="7" t="n">
        <f aca="false">AVERAGE(B37:B44)</f>
        <v>75.5375</v>
      </c>
    </row>
    <row r="45" customFormat="false" ht="15" hidden="false" customHeight="false" outlineLevel="0" collapsed="false">
      <c r="A45" s="5" t="n">
        <v>46107</v>
      </c>
      <c r="B45" s="1" t="n">
        <v>74.6</v>
      </c>
      <c r="C45" s="11" t="n">
        <f aca="false">B45-B44</f>
        <v>-0.5</v>
      </c>
      <c r="D45" s="3" t="n">
        <f aca="false">B45*2.204623</f>
        <v>164.4648758</v>
      </c>
      <c r="E45" s="7" t="n">
        <f aca="false">C45*2.204623</f>
        <v>-1.1023115</v>
      </c>
      <c r="F45" s="4" t="n">
        <f aca="false">A45</f>
        <v>46107</v>
      </c>
      <c r="G45" s="7" t="n">
        <f aca="false">AVERAGE(B38:B45)</f>
        <v>75.375</v>
      </c>
    </row>
    <row r="46" customFormat="false" ht="15" hidden="false" customHeight="false" outlineLevel="0" collapsed="false">
      <c r="A46" s="5" t="n">
        <v>46108</v>
      </c>
      <c r="B46" s="1" t="n">
        <v>74.6</v>
      </c>
      <c r="C46" s="11" t="n">
        <f aca="false">B46-B45</f>
        <v>0</v>
      </c>
      <c r="D46" s="3" t="n">
        <f aca="false">B46*2.204623</f>
        <v>164.4648758</v>
      </c>
      <c r="E46" s="7" t="n">
        <f aca="false">C46*2.204623</f>
        <v>0</v>
      </c>
      <c r="F46" s="4" t="n">
        <f aca="false">A46</f>
        <v>46108</v>
      </c>
      <c r="G46" s="7" t="n">
        <f aca="false">AVERAGE(B39:B46)</f>
        <v>75.2625</v>
      </c>
    </row>
    <row r="47" customFormat="false" ht="15" hidden="false" customHeight="false" outlineLevel="0" collapsed="false">
      <c r="A47" s="5" t="n">
        <v>46109</v>
      </c>
      <c r="B47" s="1" t="n">
        <v>74.8</v>
      </c>
      <c r="C47" s="11" t="n">
        <f aca="false">B47-B46</f>
        <v>0.200000000000003</v>
      </c>
      <c r="D47" s="3" t="n">
        <f aca="false">B47*2.204623</f>
        <v>164.9058004</v>
      </c>
      <c r="E47" s="7" t="n">
        <f aca="false">C47*2.204623</f>
        <v>0.440924600000006</v>
      </c>
      <c r="F47" s="4" t="n">
        <f aca="false">A47</f>
        <v>46109</v>
      </c>
      <c r="G47" s="7" t="n">
        <f aca="false">AVERAGE(B40:B47)</f>
        <v>75.2375</v>
      </c>
      <c r="H47" s="1" t="s">
        <v>8</v>
      </c>
    </row>
    <row r="48" customFormat="false" ht="15" hidden="false" customHeight="false" outlineLevel="0" collapsed="false">
      <c r="A48" s="5" t="n">
        <v>46110</v>
      </c>
      <c r="B48" s="1" t="n">
        <v>76.6</v>
      </c>
      <c r="C48" s="11" t="n">
        <f aca="false">B48-B47</f>
        <v>1.8</v>
      </c>
      <c r="D48" s="3" t="n">
        <f aca="false">B48*2.204623</f>
        <v>168.8741218</v>
      </c>
      <c r="E48" s="7" t="n">
        <f aca="false">C48*2.204623</f>
        <v>3.96832139999999</v>
      </c>
      <c r="F48" s="4" t="n">
        <f aca="false">A48</f>
        <v>46110</v>
      </c>
      <c r="G48" s="7" t="n">
        <f aca="false">AVERAGE(B41:B48)</f>
        <v>75.4</v>
      </c>
    </row>
    <row r="49" customFormat="false" ht="15" hidden="false" customHeight="false" outlineLevel="0" collapsed="false">
      <c r="A49" s="5" t="n">
        <v>46111</v>
      </c>
      <c r="B49" s="1" t="n">
        <v>75.8</v>
      </c>
      <c r="C49" s="11" t="n">
        <f aca="false">B49-B48</f>
        <v>-0.799999999999997</v>
      </c>
      <c r="D49" s="3" t="n">
        <f aca="false">B49*2.204623</f>
        <v>167.1104234</v>
      </c>
      <c r="E49" s="7" t="n">
        <f aca="false">C49*2.204623</f>
        <v>-1.76369839999999</v>
      </c>
      <c r="F49" s="4" t="n">
        <f aca="false">A49</f>
        <v>46111</v>
      </c>
      <c r="G49" s="7" t="n">
        <f aca="false">AVERAGE(B42:B49)</f>
        <v>75.3</v>
      </c>
    </row>
    <row r="50" customFormat="false" ht="15" hidden="false" customHeight="true" outlineLevel="0" collapsed="false">
      <c r="A50" s="5" t="n">
        <v>46112</v>
      </c>
      <c r="B50" s="1" t="n">
        <v>74.8</v>
      </c>
      <c r="C50" s="11" t="n">
        <f aca="false">B50-B49</f>
        <v>-1</v>
      </c>
      <c r="D50" s="3" t="n">
        <f aca="false">B50*2.204623</f>
        <v>164.9058004</v>
      </c>
      <c r="E50" s="7" t="n">
        <f aca="false">C50*2.204623</f>
        <v>-2.204623</v>
      </c>
      <c r="F50" s="4" t="n">
        <f aca="false">A50</f>
        <v>46112</v>
      </c>
      <c r="G50" s="7" t="n">
        <f aca="false">AVERAGE(B43:B50)</f>
        <v>75.1875</v>
      </c>
    </row>
    <row r="51" customFormat="false" ht="15" hidden="false" customHeight="true" outlineLevel="0" collapsed="false">
      <c r="A51" s="5" t="n">
        <v>46113</v>
      </c>
      <c r="B51" s="1" t="n">
        <v>74.1</v>
      </c>
      <c r="C51" s="11" t="n">
        <f aca="false">B51-B50</f>
        <v>-0.700000000000003</v>
      </c>
      <c r="D51" s="3" t="n">
        <f aca="false">B51*2.204623</f>
        <v>163.3625643</v>
      </c>
      <c r="E51" s="7" t="n">
        <f aca="false">C51*2.204623</f>
        <v>-1.54323610000001</v>
      </c>
      <c r="F51" s="4" t="n">
        <f aca="false">A51</f>
        <v>46113</v>
      </c>
      <c r="G51" s="7" t="n">
        <f aca="false">AVERAGE(B44:B51)</f>
        <v>75.05</v>
      </c>
    </row>
    <row r="52" customFormat="false" ht="15" hidden="false" customHeight="true" outlineLevel="0" collapsed="false">
      <c r="A52" s="5" t="n">
        <v>46114</v>
      </c>
      <c r="B52" s="1" t="n">
        <v>73.6</v>
      </c>
      <c r="C52" s="11" t="n">
        <f aca="false">B52-B51</f>
        <v>-0.5</v>
      </c>
      <c r="D52" s="3" t="n">
        <f aca="false">B52*2.204623</f>
        <v>162.2602528</v>
      </c>
      <c r="E52" s="7" t="n">
        <f aca="false">C52*2.204623</f>
        <v>-1.1023115</v>
      </c>
      <c r="F52" s="4" t="n">
        <f aca="false">A52</f>
        <v>46114</v>
      </c>
      <c r="G52" s="7" t="n">
        <f aca="false">AVERAGE(B45:B52)</f>
        <v>74.8625</v>
      </c>
      <c r="H52" s="1" t="s">
        <v>8</v>
      </c>
    </row>
    <row r="53" customFormat="false" ht="15" hidden="false" customHeight="true" outlineLevel="0" collapsed="false">
      <c r="A53" s="5" t="n">
        <v>46115</v>
      </c>
      <c r="B53" s="1" t="n">
        <v>75</v>
      </c>
      <c r="C53" s="11" t="n">
        <f aca="false">B53-B52</f>
        <v>1.40000000000001</v>
      </c>
      <c r="D53" s="3" t="n">
        <f aca="false">B53*2.204623</f>
        <v>165.346725</v>
      </c>
      <c r="E53" s="7" t="n">
        <f aca="false">C53*2.204623</f>
        <v>3.08647220000001</v>
      </c>
      <c r="F53" s="4" t="n">
        <f aca="false">A53</f>
        <v>46115</v>
      </c>
      <c r="G53" s="7" t="n">
        <f aca="false">AVERAGE(B46:B53)</f>
        <v>74.9125</v>
      </c>
      <c r="H53" s="1" t="s">
        <v>8</v>
      </c>
    </row>
    <row r="54" customFormat="false" ht="15" hidden="false" customHeight="true" outlineLevel="0" collapsed="false">
      <c r="A54" s="5" t="n">
        <v>46116</v>
      </c>
      <c r="B54" s="1" t="n">
        <v>75.5</v>
      </c>
      <c r="C54" s="11" t="n">
        <f aca="false">B54-B53</f>
        <v>0.5</v>
      </c>
      <c r="D54" s="3" t="n">
        <f aca="false">B54*2.204623</f>
        <v>166.4490365</v>
      </c>
      <c r="E54" s="7" t="n">
        <f aca="false">C54*2.204623</f>
        <v>1.1023115</v>
      </c>
      <c r="F54" s="4" t="n">
        <f aca="false">A54</f>
        <v>46116</v>
      </c>
      <c r="G54" s="7" t="n">
        <f aca="false">AVERAGE(B47:B54)</f>
        <v>75.025</v>
      </c>
      <c r="H54" s="1" t="s">
        <v>8</v>
      </c>
    </row>
    <row r="55" customFormat="false" ht="15" hidden="false" customHeight="true" outlineLevel="0" collapsed="false">
      <c r="A55" s="5" t="n">
        <v>46117</v>
      </c>
      <c r="B55" s="1" t="n">
        <v>75.6</v>
      </c>
      <c r="C55" s="11" t="n">
        <f aca="false">B55-B54</f>
        <v>0.0999999999999943</v>
      </c>
      <c r="D55" s="3" t="n">
        <f aca="false">B55*2.204623</f>
        <v>166.6694988</v>
      </c>
      <c r="E55" s="7" t="n">
        <f aca="false">C55*2.204623</f>
        <v>0.220462299999987</v>
      </c>
      <c r="F55" s="4" t="n">
        <f aca="false">A55</f>
        <v>46117</v>
      </c>
      <c r="G55" s="7" t="n">
        <f aca="false">AVERAGE(B48:B55)</f>
        <v>75.125</v>
      </c>
      <c r="H55" s="1" t="s">
        <v>8</v>
      </c>
    </row>
    <row r="56" customFormat="false" ht="15" hidden="false" customHeight="true" outlineLevel="0" collapsed="false">
      <c r="A56" s="5" t="n">
        <v>46118</v>
      </c>
      <c r="B56" s="1" t="n">
        <v>76</v>
      </c>
      <c r="C56" s="11" t="n">
        <f aca="false">B56-B55</f>
        <v>0.400000000000006</v>
      </c>
      <c r="D56" s="3" t="n">
        <f aca="false">B56*2.204623</f>
        <v>167.551348</v>
      </c>
      <c r="E56" s="7" t="n">
        <f aca="false">C56*2.204623</f>
        <v>0.881849200000013</v>
      </c>
      <c r="F56" s="4" t="n">
        <f aca="false">A56</f>
        <v>46118</v>
      </c>
      <c r="G56" s="7" t="n">
        <f aca="false">AVERAGE(B49:B56)</f>
        <v>75.05</v>
      </c>
      <c r="H56" s="1" t="s">
        <v>8</v>
      </c>
    </row>
    <row r="57" customFormat="false" ht="15" hidden="false" customHeight="true" outlineLevel="0" collapsed="false">
      <c r="A57" s="5" t="n">
        <v>46119</v>
      </c>
      <c r="B57" s="1" t="n">
        <v>76.7</v>
      </c>
      <c r="C57" s="11" t="n">
        <f aca="false">B57-B56</f>
        <v>0.700000000000003</v>
      </c>
      <c r="D57" s="3" t="n">
        <f aca="false">B57*2.204623</f>
        <v>169.0945841</v>
      </c>
      <c r="E57" s="7" t="n">
        <f aca="false">C57*2.204623</f>
        <v>1.54323610000001</v>
      </c>
      <c r="F57" s="4" t="n">
        <f aca="false">A57</f>
        <v>46119</v>
      </c>
      <c r="G57" s="7" t="n">
        <f aca="false">AVERAGE(B50:B57)</f>
        <v>75.1625</v>
      </c>
    </row>
    <row r="58" customFormat="false" ht="15" hidden="false" customHeight="true" outlineLevel="0" collapsed="false">
      <c r="A58" s="5" t="n">
        <v>46120</v>
      </c>
      <c r="B58" s="6" t="n">
        <v>75.9</v>
      </c>
      <c r="C58" s="11" t="n">
        <f aca="false">B58-B57</f>
        <v>-0.799999999999997</v>
      </c>
      <c r="D58" s="3" t="n">
        <f aca="false">B58*2.204623</f>
        <v>167.3308857</v>
      </c>
      <c r="E58" s="7" t="n">
        <f aca="false">C58*2.204623</f>
        <v>-1.76369839999999</v>
      </c>
      <c r="F58" s="4" t="n">
        <f aca="false">A58</f>
        <v>46120</v>
      </c>
      <c r="G58" s="7" t="n">
        <f aca="false">AVERAGE(B51:B58)</f>
        <v>75.3</v>
      </c>
      <c r="H58" s="1" t="s">
        <v>10</v>
      </c>
    </row>
    <row r="59" customFormat="false" ht="15" hidden="false" customHeight="true" outlineLevel="0" collapsed="false">
      <c r="A59" s="5" t="n">
        <v>46121</v>
      </c>
      <c r="B59" s="1" t="n">
        <v>75.6</v>
      </c>
      <c r="C59" s="11" t="n">
        <f aca="false">B59-B58</f>
        <v>-0.300000000000011</v>
      </c>
      <c r="D59" s="3" t="n">
        <f aca="false">B59*2.204623</f>
        <v>166.6694988</v>
      </c>
      <c r="E59" s="7" t="n">
        <f aca="false">C59*2.204623</f>
        <v>-0.661386900000025</v>
      </c>
      <c r="F59" s="4" t="n">
        <f aca="false">A59</f>
        <v>46121</v>
      </c>
      <c r="G59" s="7" t="n">
        <f aca="false">AVERAGE(B52:B59)</f>
        <v>75.4875</v>
      </c>
    </row>
    <row r="60" customFormat="false" ht="15" hidden="false" customHeight="true" outlineLevel="0" collapsed="false">
      <c r="A60" s="5" t="n">
        <v>46122</v>
      </c>
      <c r="B60" s="1" t="n">
        <v>75.3</v>
      </c>
      <c r="C60" s="11" t="n">
        <f aca="false">B60-B59</f>
        <v>-0.299999999999997</v>
      </c>
      <c r="D60" s="3" t="n">
        <f aca="false">B60*2.204623</f>
        <v>166.0081119</v>
      </c>
      <c r="E60" s="7" t="n">
        <f aca="false">C60*2.204623</f>
        <v>-0.661386899999994</v>
      </c>
      <c r="F60" s="4" t="n">
        <f aca="false">A60</f>
        <v>46122</v>
      </c>
      <c r="G60" s="7" t="n">
        <f aca="false">AVERAGE(B53:B60)</f>
        <v>75.7</v>
      </c>
    </row>
    <row r="61" customFormat="false" ht="15" hidden="false" customHeight="true" outlineLevel="0" collapsed="false">
      <c r="A61" s="5" t="n">
        <v>46123</v>
      </c>
      <c r="B61" s="1" t="n">
        <v>75</v>
      </c>
      <c r="C61" s="11" t="n">
        <f aca="false">B61-B60</f>
        <v>-0.299999999999997</v>
      </c>
      <c r="D61" s="3" t="n">
        <f aca="false">B61*2.204623</f>
        <v>165.346725</v>
      </c>
      <c r="E61" s="7" t="n">
        <f aca="false">C61*2.204623</f>
        <v>-0.661386899999994</v>
      </c>
      <c r="F61" s="4" t="n">
        <f aca="false">A61</f>
        <v>46123</v>
      </c>
      <c r="G61" s="7" t="n">
        <f aca="false">AVERAGE(B54:B61)</f>
        <v>75.7</v>
      </c>
      <c r="H61" s="1" t="s">
        <v>8</v>
      </c>
    </row>
    <row r="62" customFormat="false" ht="15" hidden="false" customHeight="true" outlineLevel="0" collapsed="false">
      <c r="A62" s="5" t="n">
        <v>46124</v>
      </c>
      <c r="B62" s="1" t="n">
        <v>76.1</v>
      </c>
      <c r="C62" s="11" t="n">
        <f aca="false">B62-B61</f>
        <v>1.09999999999999</v>
      </c>
      <c r="D62" s="3" t="n">
        <f aca="false">B62*2.204623</f>
        <v>167.7718103</v>
      </c>
      <c r="E62" s="7" t="n">
        <f aca="false">C62*2.204623</f>
        <v>2.42508529999999</v>
      </c>
      <c r="F62" s="4" t="n">
        <f aca="false">A62</f>
        <v>46124</v>
      </c>
      <c r="G62" s="7" t="n">
        <f aca="false">AVERAGE(B55:B62)</f>
        <v>75.775</v>
      </c>
    </row>
    <row r="63" customFormat="false" ht="15" hidden="false" customHeight="true" outlineLevel="0" collapsed="false">
      <c r="A63" s="5" t="n">
        <v>46125</v>
      </c>
      <c r="B63" s="1" t="n">
        <v>76.5</v>
      </c>
      <c r="C63" s="11" t="n">
        <f aca="false">B63-B62</f>
        <v>0.400000000000006</v>
      </c>
      <c r="D63" s="3" t="n">
        <f aca="false">B63*2.204623</f>
        <v>168.6536595</v>
      </c>
      <c r="E63" s="7" t="n">
        <f aca="false">C63*2.204623</f>
        <v>0.881849200000013</v>
      </c>
      <c r="F63" s="4" t="n">
        <f aca="false">A63</f>
        <v>46125</v>
      </c>
      <c r="G63" s="7" t="n">
        <f aca="false">AVERAGE(B56:B63)</f>
        <v>75.8875</v>
      </c>
    </row>
    <row r="64" customFormat="false" ht="15" hidden="false" customHeight="true" outlineLevel="0" collapsed="false">
      <c r="A64" s="5" t="n">
        <v>46126</v>
      </c>
      <c r="B64" s="1" t="n">
        <v>75.4</v>
      </c>
      <c r="C64" s="11" t="n">
        <f aca="false">B64-B63</f>
        <v>-1.09999999999999</v>
      </c>
      <c r="D64" s="3" t="n">
        <f aca="false">B64*2.204623</f>
        <v>166.2285742</v>
      </c>
      <c r="E64" s="7" t="n">
        <f aca="false">C64*2.204623</f>
        <v>-2.42508529999999</v>
      </c>
      <c r="F64" s="4" t="n">
        <f aca="false">A64</f>
        <v>46126</v>
      </c>
      <c r="G64" s="7" t="n">
        <f aca="false">AVERAGE(B57:B64)</f>
        <v>75.8125</v>
      </c>
    </row>
    <row r="65" customFormat="false" ht="15" hidden="false" customHeight="true" outlineLevel="0" collapsed="false">
      <c r="A65" s="5" t="n">
        <v>46127</v>
      </c>
      <c r="B65" s="1" t="n">
        <v>75.1</v>
      </c>
      <c r="C65" s="11" t="n">
        <f aca="false">B65-B64</f>
        <v>-0.300000000000011</v>
      </c>
      <c r="D65" s="3" t="n">
        <f aca="false">B65*2.204623</f>
        <v>165.5671873</v>
      </c>
      <c r="E65" s="7" t="n">
        <f aca="false">C65*2.204623</f>
        <v>-0.661386900000025</v>
      </c>
      <c r="F65" s="4" t="n">
        <f aca="false">A65</f>
        <v>46127</v>
      </c>
      <c r="G65" s="7" t="n">
        <f aca="false">AVERAGE(B58:B65)</f>
        <v>75.6125</v>
      </c>
    </row>
    <row r="66" customFormat="false" ht="15" hidden="false" customHeight="true" outlineLevel="0" collapsed="false">
      <c r="A66" s="5" t="n">
        <v>46128</v>
      </c>
      <c r="B66" s="1" t="n">
        <v>75.1</v>
      </c>
      <c r="C66" s="11" t="n">
        <f aca="false">B66-B65</f>
        <v>0</v>
      </c>
      <c r="D66" s="3" t="n">
        <f aca="false">B66*2.204623</f>
        <v>165.5671873</v>
      </c>
      <c r="E66" s="7" t="n">
        <f aca="false">C66*2.204623</f>
        <v>0</v>
      </c>
      <c r="F66" s="4" t="n">
        <f aca="false">A66</f>
        <v>46128</v>
      </c>
      <c r="G66" s="7" t="n">
        <f aca="false">AVERAGE(B59:B66)</f>
        <v>75.5125</v>
      </c>
    </row>
    <row r="67" customFormat="false" ht="15" hidden="false" customHeight="true" outlineLevel="0" collapsed="false">
      <c r="A67" s="5" t="n">
        <v>46129</v>
      </c>
      <c r="B67" s="1" t="n">
        <v>75.1</v>
      </c>
      <c r="C67" s="11" t="n">
        <f aca="false">B67-B66</f>
        <v>0</v>
      </c>
      <c r="D67" s="3" t="n">
        <f aca="false">B67*2.204623</f>
        <v>165.5671873</v>
      </c>
      <c r="E67" s="7" t="n">
        <f aca="false">C67*2.204623</f>
        <v>0</v>
      </c>
      <c r="F67" s="4" t="n">
        <f aca="false">A67</f>
        <v>46129</v>
      </c>
      <c r="G67" s="7" t="n">
        <f aca="false">AVERAGE(B60:B67)</f>
        <v>75.45</v>
      </c>
    </row>
    <row r="68" customFormat="false" ht="15" hidden="false" customHeight="true" outlineLevel="0" collapsed="false">
      <c r="A68" s="5" t="n">
        <v>46130</v>
      </c>
      <c r="B68" s="1" t="n">
        <v>74.8</v>
      </c>
      <c r="C68" s="11" t="n">
        <f aca="false">B68-B67</f>
        <v>-0.299999999999997</v>
      </c>
      <c r="D68" s="3" t="n">
        <f aca="false">B68*2.204623</f>
        <v>164.9058004</v>
      </c>
      <c r="E68" s="7" t="n">
        <f aca="false">C68*2.204623</f>
        <v>-0.661386899999994</v>
      </c>
      <c r="F68" s="4" t="n">
        <f aca="false">A68</f>
        <v>46130</v>
      </c>
      <c r="G68" s="7" t="n">
        <f aca="false">AVERAGE(B61:B68)</f>
        <v>75.3875</v>
      </c>
      <c r="H68" s="1" t="s">
        <v>8</v>
      </c>
    </row>
    <row r="69" customFormat="false" ht="15" hidden="false" customHeight="true" outlineLevel="0" collapsed="false">
      <c r="A69" s="5" t="n">
        <v>46131</v>
      </c>
      <c r="B69" s="1" t="n">
        <v>76.1</v>
      </c>
      <c r="C69" s="11" t="n">
        <f aca="false">B69-B68</f>
        <v>1.3</v>
      </c>
      <c r="D69" s="3" t="n">
        <f aca="false">B69*2.204623</f>
        <v>167.7718103</v>
      </c>
      <c r="E69" s="7" t="n">
        <f aca="false">C69*2.204623</f>
        <v>2.86600989999999</v>
      </c>
      <c r="F69" s="4" t="n">
        <f aca="false">A69</f>
        <v>46131</v>
      </c>
      <c r="G69" s="7" t="n">
        <f aca="false">AVERAGE(B62:B69)</f>
        <v>75.525</v>
      </c>
    </row>
    <row r="70" customFormat="false" ht="15" hidden="false" customHeight="true" outlineLevel="0" collapsed="false">
      <c r="A70" s="5" t="n">
        <v>46132</v>
      </c>
      <c r="B70" s="1" t="n">
        <v>75.2</v>
      </c>
      <c r="C70" s="11" t="n">
        <f aca="false">B70-B69</f>
        <v>-0.899999999999992</v>
      </c>
      <c r="D70" s="3" t="n">
        <f aca="false">B70*2.204623</f>
        <v>165.7876496</v>
      </c>
      <c r="E70" s="7" t="n">
        <f aca="false">C70*2.204623</f>
        <v>-1.98416069999998</v>
      </c>
      <c r="F70" s="4" t="n">
        <f aca="false">A70</f>
        <v>46132</v>
      </c>
      <c r="G70" s="7" t="n">
        <f aca="false">AVERAGE(B63:B70)</f>
        <v>75.4125</v>
      </c>
    </row>
    <row r="71" customFormat="false" ht="15" hidden="false" customHeight="true" outlineLevel="0" collapsed="false">
      <c r="A71" s="5" t="n">
        <v>46133</v>
      </c>
      <c r="B71" s="1" t="n">
        <v>74.4</v>
      </c>
      <c r="C71" s="11" t="n">
        <f aca="false">B71-B70</f>
        <v>-0.799999999999997</v>
      </c>
      <c r="D71" s="3" t="n">
        <f aca="false">B71*2.204623</f>
        <v>164.0239512</v>
      </c>
      <c r="E71" s="7" t="n">
        <f aca="false">C71*2.204623</f>
        <v>-1.76369839999999</v>
      </c>
      <c r="F71" s="4" t="n">
        <f aca="false">A71</f>
        <v>46133</v>
      </c>
      <c r="G71" s="7" t="n">
        <f aca="false">AVERAGE(B64:B71)</f>
        <v>75.15</v>
      </c>
    </row>
    <row r="72" customFormat="false" ht="15" hidden="false" customHeight="true" outlineLevel="0" collapsed="false">
      <c r="A72" s="5" t="n">
        <v>46134</v>
      </c>
      <c r="B72" s="1" t="n">
        <v>73.8</v>
      </c>
      <c r="C72" s="11" t="n">
        <f aca="false">B72-B71</f>
        <v>-0.600000000000009</v>
      </c>
      <c r="D72" s="3" t="n">
        <f aca="false">B72*2.204623</f>
        <v>162.7011774</v>
      </c>
      <c r="E72" s="7" t="n">
        <f aca="false">C72*2.204623</f>
        <v>-1.32277380000002</v>
      </c>
      <c r="F72" s="4" t="n">
        <f aca="false">A72</f>
        <v>46134</v>
      </c>
      <c r="G72" s="7" t="n">
        <f aca="false">AVERAGE(B65:B72)</f>
        <v>74.95</v>
      </c>
    </row>
    <row r="73" customFormat="false" ht="15" hidden="false" customHeight="true" outlineLevel="0" collapsed="false">
      <c r="A73" s="5" t="n">
        <v>46135</v>
      </c>
      <c r="B73" s="1" t="n">
        <v>74.2</v>
      </c>
      <c r="C73" s="11" t="n">
        <f aca="false">B73-B72</f>
        <v>0.400000000000006</v>
      </c>
      <c r="D73" s="3" t="n">
        <f aca="false">B73*2.204623</f>
        <v>163.5830266</v>
      </c>
      <c r="E73" s="7" t="n">
        <f aca="false">C73*2.204623</f>
        <v>0.881849200000013</v>
      </c>
      <c r="F73" s="4" t="n">
        <f aca="false">A73</f>
        <v>46135</v>
      </c>
      <c r="G73" s="7" t="n">
        <f aca="false">AVERAGE(B66:B73)</f>
        <v>74.8375</v>
      </c>
    </row>
    <row r="74" customFormat="false" ht="15" hidden="false" customHeight="true" outlineLevel="0" collapsed="false">
      <c r="A74" s="5" t="n">
        <v>46136</v>
      </c>
      <c r="B74" s="1" t="n">
        <v>73.9</v>
      </c>
      <c r="C74" s="11" t="n">
        <f aca="false">B74-B73</f>
        <v>-0.299999999999997</v>
      </c>
      <c r="D74" s="3" t="n">
        <f aca="false">B74*2.204623</f>
        <v>162.9216397</v>
      </c>
      <c r="E74" s="7" t="n">
        <f aca="false">C74*2.204623</f>
        <v>-0.661386899999994</v>
      </c>
      <c r="F74" s="4" t="n">
        <f aca="false">A74</f>
        <v>46136</v>
      </c>
      <c r="G74" s="7" t="n">
        <f aca="false">AVERAGE(B67:B74)</f>
        <v>74.6875</v>
      </c>
    </row>
    <row r="75" customFormat="false" ht="15" hidden="false" customHeight="true" outlineLevel="0" collapsed="false">
      <c r="A75" s="5" t="n">
        <v>46137</v>
      </c>
      <c r="B75" s="13" t="n">
        <v>75</v>
      </c>
      <c r="C75" s="11" t="n">
        <f aca="false">B75-B74</f>
        <v>1.09999999999999</v>
      </c>
      <c r="D75" s="3" t="n">
        <f aca="false">B75*2.204623</f>
        <v>165.346725</v>
      </c>
      <c r="E75" s="7" t="n">
        <f aca="false">C75*2.204623</f>
        <v>2.42508529999999</v>
      </c>
      <c r="F75" s="4" t="n">
        <f aca="false">A75</f>
        <v>46137</v>
      </c>
      <c r="G75" s="7" t="n">
        <f aca="false">AVERAGE(B68:B75)</f>
        <v>74.675</v>
      </c>
      <c r="H75" s="1" t="s">
        <v>11</v>
      </c>
    </row>
    <row r="76" customFormat="false" ht="15" hidden="false" customHeight="true" outlineLevel="0" collapsed="false">
      <c r="A76" s="5" t="n">
        <v>46138</v>
      </c>
      <c r="B76" s="1" t="n">
        <v>76.6</v>
      </c>
      <c r="C76" s="11" t="n">
        <f aca="false">B76-B75</f>
        <v>1.59999999999999</v>
      </c>
      <c r="D76" s="3" t="n">
        <f aca="false">B76*2.204623</f>
        <v>168.8741218</v>
      </c>
      <c r="E76" s="7" t="n">
        <f aca="false">C76*2.204623</f>
        <v>3.52739679999999</v>
      </c>
      <c r="F76" s="4" t="n">
        <f aca="false">A76</f>
        <v>46138</v>
      </c>
      <c r="G76" s="7" t="n">
        <f aca="false">AVERAGE(B69:B76)</f>
        <v>74.9</v>
      </c>
    </row>
    <row r="77" customFormat="false" ht="15" hidden="false" customHeight="true" outlineLevel="0" collapsed="false">
      <c r="A77" s="5" t="n">
        <v>46139</v>
      </c>
      <c r="B77" s="1" t="n">
        <v>76</v>
      </c>
      <c r="C77" s="11" t="n">
        <f aca="false">B77-B76</f>
        <v>-0.599999999999994</v>
      </c>
      <c r="D77" s="3" t="n">
        <f aca="false">B77*2.204623</f>
        <v>167.551348</v>
      </c>
      <c r="E77" s="7" t="n">
        <f aca="false">C77*2.204623</f>
        <v>-1.32277379999999</v>
      </c>
      <c r="F77" s="4" t="n">
        <f aca="false">A77</f>
        <v>46139</v>
      </c>
      <c r="G77" s="7" t="n">
        <f aca="false">AVERAGE(B70:B77)</f>
        <v>74.8875</v>
      </c>
    </row>
    <row r="78" customFormat="false" ht="15" hidden="false" customHeight="true" outlineLevel="0" collapsed="false">
      <c r="A78" s="5" t="n">
        <v>46140</v>
      </c>
      <c r="B78" s="1" t="n">
        <v>75.6</v>
      </c>
      <c r="C78" s="11" t="n">
        <f aca="false">B78-B77</f>
        <v>-0.400000000000006</v>
      </c>
      <c r="D78" s="3" t="n">
        <f aca="false">B78*2.204623</f>
        <v>166.6694988</v>
      </c>
      <c r="E78" s="7" t="n">
        <f aca="false">C78*2.204623</f>
        <v>-0.881849200000013</v>
      </c>
      <c r="F78" s="4" t="n">
        <f aca="false">A78</f>
        <v>46140</v>
      </c>
      <c r="G78" s="7" t="n">
        <f aca="false">AVERAGE(B71:B78)</f>
        <v>74.9375</v>
      </c>
    </row>
    <row r="79" customFormat="false" ht="15" hidden="false" customHeight="true" outlineLevel="0" collapsed="false">
      <c r="A79" s="5" t="n">
        <v>46141</v>
      </c>
      <c r="B79" s="1" t="n">
        <v>75</v>
      </c>
      <c r="C79" s="11" t="n">
        <f aca="false">B79-B78</f>
        <v>-0.599999999999994</v>
      </c>
      <c r="D79" s="3" t="n">
        <f aca="false">B79*2.204623</f>
        <v>165.346725</v>
      </c>
      <c r="E79" s="7" t="n">
        <f aca="false">C79*2.204623</f>
        <v>-1.32277379999999</v>
      </c>
      <c r="F79" s="4" t="n">
        <f aca="false">A79</f>
        <v>46141</v>
      </c>
      <c r="G79" s="7" t="n">
        <f aca="false">AVERAGE(B72:B79)</f>
        <v>75.0125</v>
      </c>
      <c r="I79" s="3" t="s">
        <v>12</v>
      </c>
    </row>
    <row r="80" customFormat="false" ht="15" hidden="false" customHeight="true" outlineLevel="0" collapsed="false">
      <c r="A80" s="5" t="n">
        <v>46142</v>
      </c>
      <c r="B80" s="1" t="n">
        <v>74.3</v>
      </c>
      <c r="C80" s="11" t="n">
        <f aca="false">B80-B79</f>
        <v>-0.700000000000003</v>
      </c>
      <c r="D80" s="3" t="n">
        <f aca="false">B80*2.204623</f>
        <v>163.8034889</v>
      </c>
      <c r="E80" s="7" t="n">
        <f aca="false">C80*2.204623</f>
        <v>-1.54323610000001</v>
      </c>
      <c r="F80" s="4" t="n">
        <f aca="false">A80</f>
        <v>46142</v>
      </c>
      <c r="G80" s="7" t="n">
        <f aca="false">AVERAGE(B73:B80)</f>
        <v>75.075</v>
      </c>
      <c r="H80" s="1" t="s">
        <v>13</v>
      </c>
      <c r="I80" s="6"/>
    </row>
    <row r="81" customFormat="false" ht="15" hidden="false" customHeight="true" outlineLevel="0" collapsed="false">
      <c r="A81" s="5" t="n">
        <v>46143</v>
      </c>
      <c r="B81" s="1" t="n">
        <v>76</v>
      </c>
      <c r="C81" s="11" t="n">
        <f aca="false">B81-B80</f>
        <v>1.7</v>
      </c>
      <c r="D81" s="3" t="n">
        <f aca="false">B81*2.204623</f>
        <v>167.551348</v>
      </c>
      <c r="E81" s="7" t="n">
        <f aca="false">C81*2.204623</f>
        <v>3.74785910000001</v>
      </c>
      <c r="F81" s="4" t="n">
        <f aca="false">A81</f>
        <v>46143</v>
      </c>
      <c r="G81" s="7" t="n">
        <f aca="false">AVERAGE(B74:B81)</f>
        <v>75.3</v>
      </c>
      <c r="I81" s="3" t="s">
        <v>12</v>
      </c>
    </row>
    <row r="82" customFormat="false" ht="15" hidden="false" customHeight="true" outlineLevel="0" collapsed="false">
      <c r="A82" s="5" t="n">
        <v>46144</v>
      </c>
      <c r="B82" s="1" t="n">
        <v>76</v>
      </c>
      <c r="C82" s="11" t="n">
        <f aca="false">B82-B81</f>
        <v>0</v>
      </c>
      <c r="D82" s="3" t="n">
        <f aca="false">B82*2.204623</f>
        <v>167.551348</v>
      </c>
      <c r="E82" s="7" t="n">
        <f aca="false">C82*2.204623</f>
        <v>0</v>
      </c>
      <c r="F82" s="4" t="n">
        <f aca="false">A82</f>
        <v>46144</v>
      </c>
      <c r="G82" s="7" t="n">
        <f aca="false">AVERAGE(B75:B82)</f>
        <v>75.5625</v>
      </c>
      <c r="I82" s="3" t="s">
        <v>12</v>
      </c>
    </row>
    <row r="83" customFormat="false" ht="15" hidden="false" customHeight="true" outlineLevel="0" collapsed="false">
      <c r="A83" s="5" t="n">
        <v>46145</v>
      </c>
      <c r="B83" s="1" t="n">
        <v>76</v>
      </c>
      <c r="C83" s="11" t="n">
        <f aca="false">B83-B82</f>
        <v>0</v>
      </c>
      <c r="D83" s="3" t="n">
        <f aca="false">B83*2.204623</f>
        <v>167.551348</v>
      </c>
      <c r="E83" s="7" t="n">
        <f aca="false">C83*2.204623</f>
        <v>0</v>
      </c>
      <c r="F83" s="4" t="n">
        <f aca="false">A83</f>
        <v>46145</v>
      </c>
      <c r="G83" s="7" t="n">
        <f aca="false">AVERAGE(B76:B83)</f>
        <v>75.6875</v>
      </c>
      <c r="I83" s="3" t="s">
        <v>12</v>
      </c>
    </row>
    <row r="84" customFormat="false" ht="15" hidden="false" customHeight="true" outlineLevel="0" collapsed="false">
      <c r="A84" s="5" t="n">
        <v>46146</v>
      </c>
      <c r="B84" s="6" t="n">
        <v>76</v>
      </c>
      <c r="C84" s="11" t="n">
        <f aca="false">B84-B83</f>
        <v>0</v>
      </c>
      <c r="D84" s="3" t="n">
        <f aca="false">B84*2.204623</f>
        <v>167.551348</v>
      </c>
      <c r="E84" s="7" t="n">
        <f aca="false">C84*2.204623</f>
        <v>0</v>
      </c>
      <c r="F84" s="4" t="n">
        <f aca="false">A84</f>
        <v>46146</v>
      </c>
      <c r="G84" s="7" t="n">
        <f aca="false">AVERAGE(B77:B84)</f>
        <v>75.6125</v>
      </c>
      <c r="I84" s="3" t="s">
        <v>12</v>
      </c>
    </row>
    <row r="85" customFormat="false" ht="15" hidden="false" customHeight="true" outlineLevel="0" collapsed="false">
      <c r="A85" s="5" t="n">
        <v>46147</v>
      </c>
      <c r="B85" s="6" t="n">
        <v>76</v>
      </c>
      <c r="C85" s="11" t="n">
        <f aca="false">B85-B84</f>
        <v>0</v>
      </c>
      <c r="D85" s="3" t="n">
        <f aca="false">B85*2.204623</f>
        <v>167.551348</v>
      </c>
      <c r="E85" s="7" t="n">
        <f aca="false">C85*2.204623</f>
        <v>0</v>
      </c>
      <c r="F85" s="4" t="n">
        <f aca="false">A85</f>
        <v>46147</v>
      </c>
      <c r="G85" s="7" t="n">
        <f aca="false">AVERAGE(B78:B85)</f>
        <v>75.6125</v>
      </c>
      <c r="I85" s="3" t="s">
        <v>12</v>
      </c>
    </row>
    <row r="86" customFormat="false" ht="15" hidden="false" customHeight="true" outlineLevel="0" collapsed="false">
      <c r="A86" s="5" t="n">
        <v>46148</v>
      </c>
      <c r="B86" s="6" t="n">
        <v>77</v>
      </c>
      <c r="C86" s="11" t="n">
        <f aca="false">B86-B85</f>
        <v>1</v>
      </c>
      <c r="D86" s="3" t="n">
        <f aca="false">B86*2.204623</f>
        <v>169.755971</v>
      </c>
      <c r="E86" s="7" t="n">
        <f aca="false">C86*2.204623</f>
        <v>2.204623</v>
      </c>
      <c r="F86" s="4" t="n">
        <f aca="false">A86</f>
        <v>46148</v>
      </c>
      <c r="G86" s="7" t="n">
        <f aca="false">AVERAGE(B79:B86)</f>
        <v>75.7875</v>
      </c>
      <c r="I86" s="3" t="s">
        <v>12</v>
      </c>
    </row>
    <row r="87" customFormat="false" ht="15" hidden="false" customHeight="true" outlineLevel="0" collapsed="false">
      <c r="A87" s="5" t="n">
        <v>46149</v>
      </c>
      <c r="B87" s="6" t="n">
        <v>76.6</v>
      </c>
      <c r="C87" s="11" t="n">
        <f aca="false">B87-B86</f>
        <v>-0.400000000000006</v>
      </c>
      <c r="D87" s="3" t="n">
        <f aca="false">B87*2.204623</f>
        <v>168.8741218</v>
      </c>
      <c r="E87" s="7" t="n">
        <f aca="false">C87*2.204623</f>
        <v>-0.881849200000013</v>
      </c>
      <c r="F87" s="4" t="n">
        <f aca="false">A87</f>
        <v>46149</v>
      </c>
      <c r="G87" s="7" t="n">
        <f aca="false">AVERAGE(B80:B87)</f>
        <v>75.9875</v>
      </c>
    </row>
    <row r="88" customFormat="false" ht="15" hidden="false" customHeight="true" outlineLevel="0" collapsed="false">
      <c r="A88" s="5" t="n">
        <v>46150</v>
      </c>
      <c r="B88" s="6"/>
      <c r="C88" s="11" t="n">
        <f aca="false">B88-B87</f>
        <v>-76.6</v>
      </c>
      <c r="D88" s="3" t="n">
        <f aca="false">B88*2.204623</f>
        <v>0</v>
      </c>
      <c r="E88" s="7" t="n">
        <f aca="false">C88*2.204623</f>
        <v>-168.8741218</v>
      </c>
      <c r="F88" s="4" t="n">
        <f aca="false">A88</f>
        <v>46150</v>
      </c>
      <c r="G88" s="7" t="n">
        <f aca="false">AVERAGE(B81:B88)</f>
        <v>76.2285714285714</v>
      </c>
    </row>
    <row r="89" customFormat="false" ht="15" hidden="false" customHeight="true" outlineLevel="0" collapsed="false">
      <c r="A89" s="5" t="n">
        <v>46151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46151</v>
      </c>
      <c r="G89" s="7" t="n">
        <f aca="false">AVERAGE(B82:B89)</f>
        <v>76.2666666666667</v>
      </c>
    </row>
    <row r="90" customFormat="false" ht="15" hidden="false" customHeight="true" outlineLevel="0" collapsed="false">
      <c r="A90" s="5" t="n">
        <v>46152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46152</v>
      </c>
      <c r="G90" s="7" t="n">
        <f aca="false">AVERAGE(B83:B90)</f>
        <v>76.32</v>
      </c>
    </row>
    <row r="91" customFormat="false" ht="15" hidden="false" customHeight="true" outlineLevel="0" collapsed="false">
      <c r="A91" s="5" t="n">
        <v>46153</v>
      </c>
      <c r="C91" s="11" t="n">
        <f aca="false">B91-B90</f>
        <v>0</v>
      </c>
      <c r="D91" s="3" t="n">
        <f aca="false">B91*2.204623</f>
        <v>0</v>
      </c>
      <c r="E91" s="7" t="n">
        <f aca="false">C91*2.204623</f>
        <v>0</v>
      </c>
      <c r="F91" s="4" t="n">
        <f aca="false">A91</f>
        <v>46153</v>
      </c>
      <c r="G91" s="7" t="n">
        <f aca="false">AVERAGE(B84:B91)</f>
        <v>76.4</v>
      </c>
    </row>
    <row r="92" customFormat="false" ht="15" hidden="false" customHeight="true" outlineLevel="0" collapsed="false">
      <c r="A92" s="5" t="n">
        <v>46154</v>
      </c>
      <c r="C92" s="11" t="n">
        <f aca="false">B92-B91</f>
        <v>0</v>
      </c>
      <c r="D92" s="3" t="n">
        <f aca="false">B92*2.204623</f>
        <v>0</v>
      </c>
      <c r="E92" s="7" t="n">
        <f aca="false">C92*2.204623</f>
        <v>0</v>
      </c>
      <c r="F92" s="4" t="n">
        <f aca="false">A92</f>
        <v>46154</v>
      </c>
      <c r="G92" s="7" t="n">
        <f aca="false">AVERAGE(B85:B92)</f>
        <v>76.5333333333333</v>
      </c>
    </row>
    <row r="93" customFormat="false" ht="15" hidden="false" customHeight="true" outlineLevel="0" collapsed="false">
      <c r="A93" s="5" t="n">
        <v>46155</v>
      </c>
      <c r="C93" s="11" t="n">
        <f aca="false">B93-B92</f>
        <v>0</v>
      </c>
      <c r="D93" s="3" t="n">
        <f aca="false">B93*2.204623</f>
        <v>0</v>
      </c>
      <c r="E93" s="7" t="n">
        <f aca="false">C93*2.204623</f>
        <v>0</v>
      </c>
      <c r="F93" s="4" t="n">
        <f aca="false">A93</f>
        <v>46155</v>
      </c>
      <c r="G93" s="7" t="n">
        <f aca="false">AVERAGE(B86:B93)</f>
        <v>76.8</v>
      </c>
    </row>
    <row r="94" customFormat="false" ht="15" hidden="false" customHeight="true" outlineLevel="0" collapsed="false">
      <c r="A94" s="5" t="n">
        <v>46156</v>
      </c>
      <c r="C94" s="11" t="n">
        <f aca="false">B94-B93</f>
        <v>0</v>
      </c>
      <c r="D94" s="3" t="n">
        <f aca="false">B94*2.204623</f>
        <v>0</v>
      </c>
      <c r="E94" s="7" t="n">
        <f aca="false">C94*2.204623</f>
        <v>0</v>
      </c>
      <c r="F94" s="4" t="n">
        <f aca="false">A94</f>
        <v>46156</v>
      </c>
      <c r="G94" s="7" t="n">
        <f aca="false">AVERAGE(B87:B94)</f>
        <v>76.6</v>
      </c>
    </row>
    <row r="95" customFormat="false" ht="15" hidden="false" customHeight="true" outlineLevel="0" collapsed="false">
      <c r="A95" s="5" t="n">
        <v>46157</v>
      </c>
      <c r="C95" s="11" t="n">
        <f aca="false">B95-B94</f>
        <v>0</v>
      </c>
      <c r="D95" s="3" t="n">
        <f aca="false">B95*2.204623</f>
        <v>0</v>
      </c>
      <c r="E95" s="7" t="n">
        <f aca="false">C95*2.204623</f>
        <v>0</v>
      </c>
      <c r="F95" s="4" t="n">
        <f aca="false">A95</f>
        <v>46157</v>
      </c>
      <c r="G95" s="7" t="e">
        <f aca="false">AVERAGE(B88:B95)</f>
        <v>#DIV/0!</v>
      </c>
    </row>
    <row r="96" customFormat="false" ht="15" hidden="false" customHeight="true" outlineLevel="0" collapsed="false">
      <c r="A96" s="5" t="n">
        <v>46158</v>
      </c>
      <c r="C96" s="11" t="n">
        <f aca="false">B96-B95</f>
        <v>0</v>
      </c>
      <c r="D96" s="3" t="n">
        <f aca="false">B96*2.204623</f>
        <v>0</v>
      </c>
      <c r="E96" s="7" t="n">
        <f aca="false">C96*2.204623</f>
        <v>0</v>
      </c>
      <c r="F96" s="4" t="n">
        <f aca="false">A96</f>
        <v>46158</v>
      </c>
      <c r="G96" s="7" t="e">
        <f aca="false">AVERAGE(B89:B96)</f>
        <v>#DIV/0!</v>
      </c>
    </row>
    <row r="97" customFormat="false" ht="15" hidden="false" customHeight="true" outlineLevel="0" collapsed="false">
      <c r="A97" s="5" t="n">
        <v>46159</v>
      </c>
      <c r="C97" s="11" t="n">
        <f aca="false">B97-B96</f>
        <v>0</v>
      </c>
      <c r="D97" s="3" t="n">
        <f aca="false">B97*2.204623</f>
        <v>0</v>
      </c>
      <c r="E97" s="7" t="n">
        <f aca="false">C97*2.204623</f>
        <v>0</v>
      </c>
      <c r="F97" s="4" t="n">
        <f aca="false">A97</f>
        <v>46159</v>
      </c>
      <c r="G97" s="7" t="e">
        <f aca="false">AVERAGE(B90:B97)</f>
        <v>#DIV/0!</v>
      </c>
    </row>
    <row r="98" customFormat="false" ht="15" hidden="false" customHeight="true" outlineLevel="0" collapsed="false">
      <c r="A98" s="5" t="n">
        <v>46160</v>
      </c>
      <c r="C98" s="11" t="n">
        <f aca="false">B98-B97</f>
        <v>0</v>
      </c>
      <c r="D98" s="3" t="n">
        <f aca="false">B98*2.204623</f>
        <v>0</v>
      </c>
      <c r="E98" s="7" t="n">
        <f aca="false">C98*2.204623</f>
        <v>0</v>
      </c>
      <c r="F98" s="4" t="n">
        <f aca="false">A98</f>
        <v>46160</v>
      </c>
      <c r="G98" s="7" t="e">
        <f aca="false">AVERAGE(B91:B98)</f>
        <v>#DIV/0!</v>
      </c>
    </row>
    <row r="99" customFormat="false" ht="15" hidden="false" customHeight="true" outlineLevel="0" collapsed="false">
      <c r="A99" s="5" t="n">
        <v>46161</v>
      </c>
      <c r="C99" s="11" t="n">
        <f aca="false">B99-B98</f>
        <v>0</v>
      </c>
      <c r="D99" s="3" t="n">
        <f aca="false">B99*2.204623</f>
        <v>0</v>
      </c>
      <c r="E99" s="7" t="n">
        <f aca="false">C99*2.204623</f>
        <v>0</v>
      </c>
      <c r="F99" s="4" t="n">
        <f aca="false">A99</f>
        <v>46161</v>
      </c>
      <c r="G99" s="7" t="e">
        <f aca="false">AVERAGE(B92:B99)</f>
        <v>#DIV/0!</v>
      </c>
    </row>
    <row r="100" customFormat="false" ht="15" hidden="false" customHeight="true" outlineLevel="0" collapsed="false">
      <c r="A100" s="5" t="n">
        <v>46162</v>
      </c>
      <c r="C100" s="11" t="n">
        <f aca="false">B100-B99</f>
        <v>0</v>
      </c>
      <c r="D100" s="3" t="n">
        <f aca="false">B100*2.204623</f>
        <v>0</v>
      </c>
      <c r="E100" s="7" t="n">
        <f aca="false">C100*2.204623</f>
        <v>0</v>
      </c>
      <c r="F100" s="4" t="n">
        <f aca="false">A100</f>
        <v>46162</v>
      </c>
      <c r="G100" s="7" t="e">
        <f aca="false">AVERAGE(B93:B100)</f>
        <v>#DIV/0!</v>
      </c>
    </row>
    <row r="101" customFormat="false" ht="15" hidden="false" customHeight="true" outlineLevel="0" collapsed="false">
      <c r="A101" s="5" t="n">
        <v>46163</v>
      </c>
      <c r="C101" s="11" t="n">
        <f aca="false">B101-B100</f>
        <v>0</v>
      </c>
      <c r="D101" s="3" t="n">
        <f aca="false">B101*2.204623</f>
        <v>0</v>
      </c>
      <c r="E101" s="7" t="n">
        <f aca="false">C101*2.204623</f>
        <v>0</v>
      </c>
      <c r="F101" s="4" t="n">
        <f aca="false">A101</f>
        <v>46163</v>
      </c>
      <c r="G101" s="7" t="e">
        <f aca="false">AVERAGE(B94:B101)</f>
        <v>#DIV/0!</v>
      </c>
    </row>
    <row r="102" customFormat="false" ht="15" hidden="false" customHeight="true" outlineLevel="0" collapsed="false">
      <c r="A102" s="5" t="n">
        <v>46164</v>
      </c>
      <c r="C102" s="11" t="n">
        <f aca="false">B102-B101</f>
        <v>0</v>
      </c>
      <c r="D102" s="3" t="n">
        <f aca="false">B102*2.204623</f>
        <v>0</v>
      </c>
      <c r="E102" s="7" t="n">
        <f aca="false">C102*2.204623</f>
        <v>0</v>
      </c>
      <c r="F102" s="4" t="n">
        <f aca="false">A102</f>
        <v>46164</v>
      </c>
      <c r="G102" s="7" t="e">
        <f aca="false">AVERAGE(B95:B102)</f>
        <v>#DIV/0!</v>
      </c>
    </row>
    <row r="103" customFormat="false" ht="15" hidden="false" customHeight="true" outlineLevel="0" collapsed="false">
      <c r="A103" s="5" t="n">
        <v>46165</v>
      </c>
      <c r="C103" s="11" t="n">
        <f aca="false">B103-B102</f>
        <v>0</v>
      </c>
      <c r="D103" s="3" t="n">
        <f aca="false">B103*2.204623</f>
        <v>0</v>
      </c>
      <c r="E103" s="7" t="n">
        <f aca="false">C103*2.204623</f>
        <v>0</v>
      </c>
      <c r="F103" s="4" t="n">
        <f aca="false">A103</f>
        <v>46165</v>
      </c>
      <c r="G103" s="7" t="e">
        <f aca="false">AVERAGE(B96:B103)</f>
        <v>#DIV/0!</v>
      </c>
    </row>
    <row r="104" customFormat="false" ht="15" hidden="false" customHeight="true" outlineLevel="0" collapsed="false">
      <c r="A104" s="5" t="n">
        <v>46166</v>
      </c>
      <c r="C104" s="11" t="n">
        <f aca="false">B104-B103</f>
        <v>0</v>
      </c>
      <c r="D104" s="3" t="n">
        <f aca="false">B104*2.204623</f>
        <v>0</v>
      </c>
      <c r="E104" s="7" t="n">
        <f aca="false">C104*2.204623</f>
        <v>0</v>
      </c>
      <c r="F104" s="4" t="n">
        <f aca="false">A104</f>
        <v>46166</v>
      </c>
      <c r="G104" s="7" t="e">
        <f aca="false">AVERAGE(B97:B104)</f>
        <v>#DIV/0!</v>
      </c>
    </row>
    <row r="105" customFormat="false" ht="15" hidden="false" customHeight="true" outlineLevel="0" collapsed="false">
      <c r="A105" s="5" t="n">
        <v>46167</v>
      </c>
      <c r="C105" s="11" t="n">
        <f aca="false">B105-B104</f>
        <v>0</v>
      </c>
      <c r="D105" s="3" t="n">
        <f aca="false">B105*2.204623</f>
        <v>0</v>
      </c>
      <c r="E105" s="7" t="n">
        <f aca="false">C105*2.204623</f>
        <v>0</v>
      </c>
      <c r="F105" s="4" t="n">
        <f aca="false">A105</f>
        <v>46167</v>
      </c>
      <c r="G105" s="7" t="e">
        <f aca="false">AVERAGE(B98:B105)</f>
        <v>#DIV/0!</v>
      </c>
    </row>
    <row r="106" customFormat="false" ht="15" hidden="false" customHeight="true" outlineLevel="0" collapsed="false">
      <c r="A106" s="5" t="n">
        <v>46168</v>
      </c>
      <c r="C106" s="11" t="n">
        <f aca="false">B106-B105</f>
        <v>0</v>
      </c>
      <c r="D106" s="3" t="n">
        <f aca="false">B106*2.204623</f>
        <v>0</v>
      </c>
      <c r="E106" s="7" t="n">
        <f aca="false">C106*2.204623</f>
        <v>0</v>
      </c>
      <c r="F106" s="4" t="n">
        <f aca="false">A106</f>
        <v>46168</v>
      </c>
      <c r="G106" s="7" t="e">
        <f aca="false">AVERAGE(B99:B106)</f>
        <v>#DIV/0!</v>
      </c>
    </row>
    <row r="107" customFormat="false" ht="15" hidden="false" customHeight="true" outlineLevel="0" collapsed="false">
      <c r="A107" s="5" t="n">
        <v>46169</v>
      </c>
      <c r="C107" s="11" t="n">
        <f aca="false">B107-B106</f>
        <v>0</v>
      </c>
      <c r="D107" s="3" t="n">
        <f aca="false">B107*2.204623</f>
        <v>0</v>
      </c>
      <c r="E107" s="7" t="n">
        <f aca="false">C107*2.204623</f>
        <v>0</v>
      </c>
      <c r="F107" s="4" t="n">
        <f aca="false">A107</f>
        <v>46169</v>
      </c>
      <c r="G107" s="7" t="e">
        <f aca="false">AVERAGE(B100:B107)</f>
        <v>#DIV/0!</v>
      </c>
    </row>
    <row r="108" customFormat="false" ht="15" hidden="false" customHeight="true" outlineLevel="0" collapsed="false">
      <c r="A108" s="5" t="n">
        <v>46170</v>
      </c>
      <c r="C108" s="11" t="n">
        <f aca="false">B108-B107</f>
        <v>0</v>
      </c>
      <c r="D108" s="3" t="n">
        <f aca="false">B108*2.204623</f>
        <v>0</v>
      </c>
      <c r="E108" s="7" t="n">
        <f aca="false">C108*2.204623</f>
        <v>0</v>
      </c>
      <c r="F108" s="4" t="n">
        <f aca="false">A108</f>
        <v>46170</v>
      </c>
      <c r="G108" s="7" t="e">
        <f aca="false">AVERAGE(B101:B108)</f>
        <v>#DIV/0!</v>
      </c>
    </row>
    <row r="109" customFormat="false" ht="15" hidden="false" customHeight="true" outlineLevel="0" collapsed="false">
      <c r="A109" s="5" t="n">
        <v>46171</v>
      </c>
      <c r="C109" s="11" t="n">
        <f aca="false">B109-B108</f>
        <v>0</v>
      </c>
      <c r="D109" s="3" t="n">
        <f aca="false">B109*2.204623</f>
        <v>0</v>
      </c>
      <c r="E109" s="7" t="n">
        <f aca="false">C109*2.204623</f>
        <v>0</v>
      </c>
      <c r="F109" s="4" t="n">
        <f aca="false">A109</f>
        <v>46171</v>
      </c>
      <c r="G109" s="7" t="e">
        <f aca="false">AVERAGE(B102:B109)</f>
        <v>#DIV/0!</v>
      </c>
    </row>
    <row r="110" customFormat="false" ht="15" hidden="false" customHeight="true" outlineLevel="0" collapsed="false">
      <c r="A110" s="5" t="n">
        <v>46172</v>
      </c>
      <c r="C110" s="11" t="n">
        <f aca="false">B110-B109</f>
        <v>0</v>
      </c>
      <c r="D110" s="3" t="n">
        <f aca="false">B110*2.204623</f>
        <v>0</v>
      </c>
      <c r="E110" s="7" t="n">
        <f aca="false">C110*2.204623</f>
        <v>0</v>
      </c>
      <c r="F110" s="4" t="n">
        <f aca="false">A110</f>
        <v>46172</v>
      </c>
      <c r="G110" s="7" t="e">
        <f aca="false">AVERAGE(B103:B110)</f>
        <v>#DIV/0!</v>
      </c>
    </row>
    <row r="111" customFormat="false" ht="15" hidden="false" customHeight="true" outlineLevel="0" collapsed="false">
      <c r="A111" s="5" t="n">
        <v>46173</v>
      </c>
      <c r="C111" s="11" t="n">
        <f aca="false">B111-B110</f>
        <v>0</v>
      </c>
      <c r="D111" s="3" t="n">
        <f aca="false">B111*2.204623</f>
        <v>0</v>
      </c>
      <c r="E111" s="7" t="n">
        <f aca="false">C111*2.204623</f>
        <v>0</v>
      </c>
      <c r="F111" s="4" t="n">
        <f aca="false">A111</f>
        <v>46173</v>
      </c>
      <c r="G111" s="7" t="e">
        <f aca="false">AVERAGE(B104:B111)</f>
        <v>#DIV/0!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37" colorId="64" zoomScale="110" zoomScaleNormal="110" zoomScalePageLayoutView="100" workbookViewId="0">
      <selection pane="topLeft" activeCell="B84" activeCellId="0" sqref="B84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6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14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15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16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1769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cp:lastPrinted>2026-03-11T09:57:12Z</cp:lastPrinted>
  <dcterms:modified xsi:type="dcterms:W3CDTF">2026-06-05T08:25:43Z</dcterms:modified>
  <cp:revision>197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