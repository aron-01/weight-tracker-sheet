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<sst xmlns="http://schemas.openxmlformats.org/spreadsheetml/2006/main" count="20" uniqueCount="12">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</sst>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319434102755"/>
          <c:y val="0.0667291877074015"/>
          <c:w val="0.705416976917349"/>
          <c:h val="0.857740585774059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77.5</c:v>
                </c:pt>
                <c:pt idx="1">
                  <c:v>77.1</c:v>
                </c:pt>
                <c:pt idx="2">
                  <c:v>76.5</c:v>
                </c:pt>
                <c:pt idx="3">
                  <c:v>76.4</c:v>
                </c:pt>
                <c:pt idx="4">
                  <c:v>77.5</c:v>
                </c:pt>
                <c:pt idx="5">
                  <c:v>77.1</c:v>
                </c:pt>
                <c:pt idx="6">
                  <c:v>78.2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Wednesday</c:v>
                </c:pt>
                <c:pt idx="1">
                  <c:v>Thursday</c:v>
                </c:pt>
                <c:pt idx="2">
                  <c:v>Friday</c:v>
                </c:pt>
                <c:pt idx="3">
                  <c:v>Saturday</c:v>
                </c:pt>
                <c:pt idx="4">
                  <c:v>Sunday</c:v>
                </c:pt>
                <c:pt idx="5">
                  <c:v>Monday</c:v>
                </c:pt>
                <c:pt idx="6">
                  <c:v>Tuesday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77.1142857142857</c:v>
                </c:pt>
                <c:pt idx="1">
                  <c:v>77.1857142857143</c:v>
                </c:pt>
                <c:pt idx="2">
                  <c:v>77.1333333333333</c:v>
                </c:pt>
                <c:pt idx="3">
                  <c:v>77.14</c:v>
                </c:pt>
                <c:pt idx="4">
                  <c:v>77.3</c:v>
                </c:pt>
                <c:pt idx="5">
                  <c:v>77.6</c:v>
                </c:pt>
                <c:pt idx="6">
                  <c:v>77.65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802415"/>
        <c:axId val="53724173"/>
      </c:lineChart>
      <c:catAx>
        <c:axId val="3180241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3724173"/>
        <c:crossesAt val="0"/>
        <c:auto val="1"/>
        <c:lblAlgn val="ctr"/>
        <c:lblOffset val="100"/>
        <c:noMultiLvlLbl val="0"/>
      </c:catAx>
      <c:valAx>
        <c:axId val="5372417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180241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892306976311"/>
          <c:y val="0.0667484485495743"/>
          <c:w val="0.705449806859962"/>
          <c:h val="0.85777168422571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35947"/>
        <c:axId val="70929083"/>
      </c:lineChart>
      <c:catAx>
        <c:axId val="8635947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0929083"/>
        <c:crosses val="autoZero"/>
        <c:auto val="1"/>
        <c:lblAlgn val="ctr"/>
        <c:lblOffset val="100"/>
        <c:noMultiLvlLbl val="0"/>
      </c:catAx>
      <c:valAx>
        <c:axId val="709290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6359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682560</xdr:colOff>
      <xdr:row>39</xdr:row>
      <xdr:rowOff>178560</xdr:rowOff>
    </xdr:to>
    <xdr:graphicFrame>
      <xdr:nvGraphicFramePr>
        <xdr:cNvPr id="1" name=""/>
        <xdr:cNvGraphicFramePr/>
      </xdr:nvGraphicFramePr>
      <xdr:xfrm>
        <a:off x="11475360" y="2618280"/>
        <a:ext cx="7735320" cy="498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69480</xdr:colOff>
      <xdr:row>34</xdr:row>
      <xdr:rowOff>187920</xdr:rowOff>
    </xdr:to>
    <xdr:graphicFrame>
      <xdr:nvGraphicFramePr>
        <xdr:cNvPr id="2" name=""/>
        <xdr:cNvGraphicFramePr/>
      </xdr:nvGraphicFramePr>
      <xdr:xfrm>
        <a:off x="9101160" y="1676520"/>
        <a:ext cx="7734960" cy="498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12" activeCellId="0" sqref="F12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46078</v>
      </c>
      <c r="L1" s="9" t="n">
        <f aca="false">INDEX(B:B, COUNTA(B:B)-7+ROW())</f>
        <v>77.5</v>
      </c>
      <c r="M1" s="10" t="n">
        <f aca="false">INDEX(G:G, COUNTA(B:B)-7+ROW())</f>
        <v>77.1142857142857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46079</v>
      </c>
      <c r="L2" s="9" t="n">
        <f aca="false">INDEX(B:B, COUNTA(B:B)-7+ROW())</f>
        <v>77.1</v>
      </c>
      <c r="M2" s="10" t="n">
        <f aca="false">INDEX(G:G, COUNTA(B:B)-7+ROW())</f>
        <v>77.1857142857143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46080</v>
      </c>
      <c r="L3" s="9" t="n">
        <f aca="false">INDEX(B:B, COUNTA(B:B)-7+ROW())</f>
        <v>76.5</v>
      </c>
      <c r="M3" s="10" t="n">
        <f aca="false">INDEX(G:G, COUNTA(B:B)-7+ROW())</f>
        <v>77.1333333333333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77.1</v>
      </c>
      <c r="K4" s="8" t="n">
        <f aca="false">INDEX(A:A, COUNTA(B:B)-7+ROW())</f>
        <v>46081</v>
      </c>
      <c r="L4" s="9" t="n">
        <f aca="false">INDEX(B:B, COUNTA(B:B)-7+ROW())</f>
        <v>76.4</v>
      </c>
      <c r="M4" s="10" t="n">
        <f aca="false">INDEX(G:G, COUNTA(B:B)-7+ROW())</f>
        <v>77.14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77.1857142857143</v>
      </c>
      <c r="K5" s="8" t="n">
        <f aca="false">INDEX(A:A, COUNTA(B:B)-7+ROW())</f>
        <v>46082</v>
      </c>
      <c r="L5" s="9" t="n">
        <f aca="false">INDEX(B:B, COUNTA(B:B)-7+ROW())</f>
        <v>77.5</v>
      </c>
      <c r="M5" s="10" t="n">
        <f aca="false">INDEX(G:G, COUNTA(B:B)-7+ROW())</f>
        <v>77.3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46083</v>
      </c>
      <c r="L6" s="9" t="n">
        <f aca="false">INDEX(B:B, COUNTA(B:B)-7+ROW())</f>
        <v>77.1</v>
      </c>
      <c r="M6" s="10" t="n">
        <f aca="false">INDEX(G:G, COUNTA(B:B)-7+ROW())</f>
        <v>77.6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46084</v>
      </c>
      <c r="L7" s="9" t="n">
        <f aca="false">INDEX(B:B, COUNTA(B:B)-7+ROW())</f>
        <v>78.2</v>
      </c>
      <c r="M7" s="10" t="n">
        <f aca="false">INDEX(G:G, COUNTA(B:B)-7+ROW())</f>
        <v>77.65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78.1714285714286</v>
      </c>
      <c r="H10" s="6" t="s">
        <v>5</v>
      </c>
      <c r="I10" s="1" t="s">
        <v>7</v>
      </c>
      <c r="J10" s="3" t="n">
        <f aca="false">((I5 - I7) * 7000) / J9</f>
        <v>50.3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78.3428571428571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78.1428571428571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77.8857142857143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77.6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AVERAGE(B14:B20)</f>
        <v>77.3428571428571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AVERAGE(B15:B21)</f>
        <v>77.1142857142857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AVERAGE(B16:B22)</f>
        <v>77.1857142857143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AVERAGE(B17:B23)</f>
        <v>77.1333333333333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AVERAGE(B18:B24)</f>
        <v>77.14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AVERAGE(B19:B25)</f>
        <v>77.3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AVERAGE(B20:B26)</f>
        <v>77.6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AVERAGE(B21:B27)</f>
        <v>77.65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-78.2</v>
      </c>
      <c r="D23" s="3" t="n">
        <f aca="false">B23*2.204623</f>
        <v>0</v>
      </c>
      <c r="E23" s="7" t="n">
        <f aca="false">C23*2.204623</f>
        <v>-172.4015186</v>
      </c>
      <c r="F23" s="4" t="n">
        <f aca="false">A23</f>
        <v>46085</v>
      </c>
      <c r="G23" s="7" t="n">
        <f aca="false">AVERAGE(B22:B28)</f>
        <v>78.2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2026-03-03T08:24:49Z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