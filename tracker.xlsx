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<sst xmlns="http://schemas.openxmlformats.org/spreadsheetml/2006/main" count="20" uniqueCount="12">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</sst>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242903676129"/>
          <c:y val="0.0667195614541258"/>
          <c:w val="0.70544439274081"/>
          <c:h val="0.857905366416619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78.7</c:v>
                </c:pt>
                <c:pt idx="1">
                  <c:v>77.7</c:v>
                </c:pt>
                <c:pt idx="2">
                  <c:v>77.5</c:v>
                </c:pt>
                <c:pt idx="3">
                  <c:v>77.1</c:v>
                </c:pt>
                <c:pt idx="4">
                  <c:v>76.5</c:v>
                </c:pt>
                <c:pt idx="5">
                  <c:v>76.4</c:v>
                </c:pt>
                <c:pt idx="6">
                  <c:v>77.5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77.6</c:v>
                </c:pt>
                <c:pt idx="1">
                  <c:v>77.3428571428571</c:v>
                </c:pt>
                <c:pt idx="2">
                  <c:v>77.1166666666667</c:v>
                </c:pt>
                <c:pt idx="3">
                  <c:v>77</c:v>
                </c:pt>
                <c:pt idx="4">
                  <c:v>76.875</c:v>
                </c:pt>
                <c:pt idx="5">
                  <c:v>76.8</c:v>
                </c:pt>
                <c:pt idx="6">
                  <c:v>76.95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929865"/>
        <c:axId val="85379013"/>
      </c:lineChart>
      <c:catAx>
        <c:axId val="54929865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5379013"/>
        <c:crossesAt val="0"/>
        <c:auto val="1"/>
        <c:lblAlgn val="ctr"/>
        <c:lblOffset val="100"/>
        <c:noMultiLvlLbl val="0"/>
      </c:catAx>
      <c:valAx>
        <c:axId val="8537901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49298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815812741403"/>
          <c:y val="0.0667388167388167"/>
          <c:w val="0.705477220903718"/>
          <c:h val="0.857936507936508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374226"/>
        <c:axId val="93826325"/>
      </c:lineChart>
      <c:catAx>
        <c:axId val="59374226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3826325"/>
        <c:crosses val="autoZero"/>
        <c:auto val="1"/>
        <c:lblAlgn val="ctr"/>
        <c:lblOffset val="100"/>
        <c:noMultiLvlLbl val="0"/>
      </c:catAx>
      <c:valAx>
        <c:axId val="938263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937422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683280</xdr:colOff>
      <xdr:row>39</xdr:row>
      <xdr:rowOff>179280</xdr:rowOff>
    </xdr:to>
    <xdr:graphicFrame>
      <xdr:nvGraphicFramePr>
        <xdr:cNvPr id="1" name=""/>
        <xdr:cNvGraphicFramePr/>
      </xdr:nvGraphicFramePr>
      <xdr:xfrm>
        <a:off x="11475360" y="2618280"/>
        <a:ext cx="7736040" cy="499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70200</xdr:colOff>
      <xdr:row>34</xdr:row>
      <xdr:rowOff>188640</xdr:rowOff>
    </xdr:to>
    <xdr:graphicFrame>
      <xdr:nvGraphicFramePr>
        <xdr:cNvPr id="2" name=""/>
        <xdr:cNvGraphicFramePr/>
      </xdr:nvGraphicFramePr>
      <xdr:xfrm>
        <a:off x="9101160" y="1676520"/>
        <a:ext cx="7735680" cy="4989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21" activeCellId="0" sqref="H21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46076</v>
      </c>
      <c r="L1" s="9" t="n">
        <f aca="false">INDEX(B:B, COUNTA(B:B)-7+ROW())</f>
        <v>78.7</v>
      </c>
      <c r="M1" s="10" t="n">
        <f aca="false">INDEX(G:G, COUNTA(B:B)-7+ROW())</f>
        <v>77.6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46077</v>
      </c>
      <c r="L2" s="9" t="n">
        <f aca="false">INDEX(B:B, COUNTA(B:B)-7+ROW())</f>
        <v>77.7</v>
      </c>
      <c r="M2" s="10" t="n">
        <f aca="false">INDEX(G:G, COUNTA(B:B)-7+ROW())</f>
        <v>77.3428571428571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46078</v>
      </c>
      <c r="L3" s="9" t="n">
        <f aca="false">INDEX(B:B, COUNTA(B:B)-7+ROW())</f>
        <v>77.5</v>
      </c>
      <c r="M3" s="10" t="n">
        <f aca="false">INDEX(G:G, COUNTA(B:B)-7+ROW())</f>
        <v>77.1166666666667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77.5</v>
      </c>
      <c r="K4" s="8" t="n">
        <f aca="false">INDEX(A:A, COUNTA(B:B)-7+ROW())</f>
        <v>46079</v>
      </c>
      <c r="L4" s="9" t="n">
        <f aca="false">INDEX(B:B, COUNTA(B:B)-7+ROW())</f>
        <v>77.1</v>
      </c>
      <c r="M4" s="10" t="n">
        <f aca="false">INDEX(G:G, COUNTA(B:B)-7+ROW())</f>
        <v>77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77.3428571428571</v>
      </c>
      <c r="K5" s="8" t="n">
        <f aca="false">INDEX(A:A, COUNTA(B:B)-7+ROW())</f>
        <v>46080</v>
      </c>
      <c r="L5" s="9" t="n">
        <f aca="false">INDEX(B:B, COUNTA(B:B)-7+ROW())</f>
        <v>76.5</v>
      </c>
      <c r="M5" s="10" t="n">
        <f aca="false">INDEX(G:G, COUNTA(B:B)-7+ROW())</f>
        <v>76.875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77.0428571428571</v>
      </c>
      <c r="H6" s="6"/>
      <c r="K6" s="8" t="n">
        <f aca="false">INDEX(A:A, COUNTA(B:B)-7+ROW())</f>
        <v>46081</v>
      </c>
      <c r="L6" s="9" t="n">
        <f aca="false">INDEX(B:B, COUNTA(B:B)-7+ROW())</f>
        <v>76.4</v>
      </c>
      <c r="M6" s="10" t="n">
        <f aca="false">INDEX(G:G, COUNTA(B:B)-7+ROW())</f>
        <v>76.8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77.3</v>
      </c>
      <c r="H7" s="6" t="s">
        <v>4</v>
      </c>
      <c r="I7" s="3" t="n">
        <v>70</v>
      </c>
      <c r="K7" s="8" t="n">
        <f aca="false">INDEX(A:A, COUNTA(B:B)-7+ROW())</f>
        <v>46082</v>
      </c>
      <c r="L7" s="9" t="n">
        <f aca="false">INDEX(B:B, COUNTA(B:B)-7+ROW())</f>
        <v>77.5</v>
      </c>
      <c r="M7" s="10" t="n">
        <f aca="false">INDEX(G:G, COUNTA(B:B)-7+ROW())</f>
        <v>76.95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77.6857142857143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78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78.1714285714286</v>
      </c>
      <c r="H10" s="6" t="s">
        <v>5</v>
      </c>
      <c r="I10" s="1" t="s">
        <v>7</v>
      </c>
      <c r="J10" s="3" t="n">
        <f aca="false">((I5 - I7) * 7000) / J9</f>
        <v>51.4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AVERAGE(B10:B16)</f>
        <v>78.3428571428571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AVERAGE(B11:B17)</f>
        <v>78.1428571428571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AVERAGE(B12:B18)</f>
        <v>77.8857142857143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AVERAGE(B13:B19)</f>
        <v>77.6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AVERAGE(B14:B20)</f>
        <v>77.3428571428571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AVERAGE(B15:B21)</f>
        <v>77.1166666666667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AVERAGE(B16:B22)</f>
        <v>77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AVERAGE(B17:B23)</f>
        <v>76.875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AVERAGE(B18:B24)</f>
        <v>76.8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AVERAGE(B19:B25)</f>
        <v>76.95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-77.5</v>
      </c>
      <c r="D21" s="3" t="n">
        <f aca="false">B21*2.204623</f>
        <v>0</v>
      </c>
      <c r="E21" s="7" t="n">
        <f aca="false">C21*2.204623</f>
        <v>-170.8582825</v>
      </c>
      <c r="F21" s="4" t="n">
        <f aca="false">A21</f>
        <v>46083</v>
      </c>
      <c r="G21" s="7" t="n">
        <f aca="false">AVERAGE(B20:B26)</f>
        <v>77.5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1721</TotalTime>
  <Application>LibreOffice/26.2.0.3$Linux_X86_64 LibreOffice_project/f1632ca95bc60e4a160604f46a6d9de4857c31ac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2026-03-01T11:32:40Z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