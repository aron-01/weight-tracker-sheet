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<sst xmlns="http://schemas.openxmlformats.org/spreadsheetml/2006/main" count="14" uniqueCount="6">
  <si>
    <t xml:space="preserve">7 day average</t>
  </si>
  <si>
    <t xml:space="preserve">Last 7 values</t>
  </si>
  <si>
    <t xml:space="preserve">7 day median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</si>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</sst>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592969730785"/>
          <c:y val="0.0666330499927964"/>
          <c:w val="0.705723717859302"/>
          <c:h val="0.859386255582769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Err:502</c:v>
                </c:pt>
                <c:pt idx="3">
                  <c:v>Err:502</c:v>
                </c:pt>
                <c:pt idx="4">
                  <c:v>Err:502</c:v>
                </c:pt>
                <c:pt idx="5">
                  <c:v>Friday</c:v>
                </c:pt>
                <c:pt idx="6">
                  <c:v>Sunday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5">
                  <c:v>0</c:v>
                </c:pt>
                <c:pt idx="6">
                  <c:v>78.7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Err:502</c:v>
                </c:pt>
                <c:pt idx="1">
                  <c:v>Err:502</c:v>
                </c:pt>
                <c:pt idx="2">
                  <c:v>Err:502</c:v>
                </c:pt>
                <c:pt idx="3">
                  <c:v>Err:502</c:v>
                </c:pt>
                <c:pt idx="4">
                  <c:v>Err:502</c:v>
                </c:pt>
                <c:pt idx="5">
                  <c:v>Friday</c:v>
                </c:pt>
                <c:pt idx="6">
                  <c:v>Sunday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20327"/>
        <c:axId val="1454648"/>
      </c:lineChart>
      <c:catAx>
        <c:axId val="620327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454648"/>
        <c:crossesAt val="0"/>
        <c:auto val="1"/>
        <c:lblAlgn val="ctr"/>
        <c:lblOffset val="100"/>
        <c:noMultiLvlLbl val="0"/>
      </c:catAx>
      <c:valAx>
        <c:axId val="145464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2032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128004835635"/>
          <c:y val="0.0666330499927964"/>
          <c:w val="0.705723717859302"/>
          <c:h val="0.859386255582769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9237867"/>
        <c:axId val="30429386"/>
      </c:lineChart>
      <c:catAx>
        <c:axId val="89237867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0429386"/>
        <c:crosses val="autoZero"/>
        <c:auto val="1"/>
        <c:lblAlgn val="ctr"/>
        <c:lblOffset val="100"/>
        <c:noMultiLvlLbl val="0"/>
      </c:catAx>
      <c:valAx>
        <c:axId val="304293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923786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76680</xdr:colOff>
      <xdr:row>35</xdr:row>
      <xdr:rowOff>6120</xdr:rowOff>
    </xdr:to>
    <xdr:graphicFrame>
      <xdr:nvGraphicFramePr>
        <xdr:cNvPr id="1" name=""/>
        <xdr:cNvGraphicFramePr/>
      </xdr:nvGraphicFramePr>
      <xdr:xfrm>
        <a:off x="9101160" y="1676520"/>
        <a:ext cx="7742160" cy="4997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76680</xdr:colOff>
      <xdr:row>35</xdr:row>
      <xdr:rowOff>6120</xdr:rowOff>
    </xdr:to>
    <xdr:graphicFrame>
      <xdr:nvGraphicFramePr>
        <xdr:cNvPr id="2" name=""/>
        <xdr:cNvGraphicFramePr/>
      </xdr:nvGraphicFramePr>
      <xdr:xfrm>
        <a:off x="9101160" y="1676520"/>
        <a:ext cx="7742160" cy="4997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E12" activeCellId="0" sqref="E12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46019</v>
      </c>
      <c r="B1" s="6" t="n">
        <v>78.7</v>
      </c>
      <c r="D1" s="3" t="n">
        <f aca="false">B1*2.204623</f>
        <v>173.5038301</v>
      </c>
      <c r="E1" s="7"/>
      <c r="F1" s="4" t="n">
        <f aca="false">A1</f>
        <v>46019</v>
      </c>
      <c r="G1" s="7" t="s">
        <v>0</v>
      </c>
      <c r="J1" s="5" t="s">
        <v>1</v>
      </c>
      <c r="K1" s="8" t="e">
        <f aca="false">INDEX(A:A, COUNTA(B:B)-7+ROW())</f>
        <v>#VALUE!</v>
      </c>
      <c r="L1" s="9" t="e">
        <f aca="false">INDEX(B:B, COUNTA(B:B)-7+ROW())</f>
        <v>#VALUE!</v>
      </c>
      <c r="M1" s="10" t="e">
        <f aca="false">INDEX(G:G, COUNTA(B:B)-7+ROW())</f>
        <v>#VALUE!</v>
      </c>
    </row>
    <row r="2" customFormat="false" ht="15" hidden="false" customHeight="false" outlineLevel="0" collapsed="false">
      <c r="A2" s="5" t="n">
        <v>46020</v>
      </c>
      <c r="B2" s="6"/>
      <c r="C2" s="11" t="n">
        <f aca="false">B2-B1</f>
        <v>-78.7</v>
      </c>
      <c r="D2" s="3" t="n">
        <f aca="false">B2*2.204623</f>
        <v>0</v>
      </c>
      <c r="E2" s="7" t="n">
        <f aca="false">C2*2.204623</f>
        <v>-173.5038301</v>
      </c>
      <c r="F2" s="4" t="n">
        <f aca="false">A2</f>
        <v>46020</v>
      </c>
      <c r="G2" s="7" t="n">
        <f aca="false">AVERAGE(B1:B7)</f>
        <v>78.7</v>
      </c>
      <c r="K2" s="8" t="e">
        <f aca="false">INDEX(A:A, COUNTA(B:B)-7+ROW())</f>
        <v>#VALUE!</v>
      </c>
      <c r="L2" s="9" t="e">
        <f aca="false">INDEX(B:B, COUNTA(B:B)-7+ROW())</f>
        <v>#VALUE!</v>
      </c>
      <c r="M2" s="10" t="e">
        <f aca="false">INDEX(G:G, COUNTA(B:B)-7+ROW())</f>
        <v>#VALUE!</v>
      </c>
    </row>
    <row r="3" customFormat="false" ht="15" hidden="false" customHeight="false" outlineLevel="0" collapsed="false">
      <c r="A3" s="5" t="n">
        <v>46021</v>
      </c>
      <c r="B3" s="6"/>
      <c r="C3" s="11" t="n">
        <f aca="false">B3-B2</f>
        <v>0</v>
      </c>
      <c r="D3" s="3" t="n">
        <f aca="false">B3*2.204623</f>
        <v>0</v>
      </c>
      <c r="E3" s="7" t="n">
        <f aca="false">C3*2.204623</f>
        <v>0</v>
      </c>
      <c r="F3" s="4" t="n">
        <f aca="false">A3</f>
        <v>46021</v>
      </c>
      <c r="G3" s="7" t="e">
        <f aca="false">AVERAGE(B2:B8)</f>
        <v>#DIV/0!</v>
      </c>
      <c r="K3" s="8" t="e">
        <f aca="false">INDEX(A:A, COUNTA(B:B)-7+ROW())</f>
        <v>#VALUE!</v>
      </c>
      <c r="L3" s="9" t="e">
        <f aca="false">INDEX(B:B, COUNTA(B:B)-7+ROW())</f>
        <v>#VALUE!</v>
      </c>
      <c r="M3" s="10" t="e">
        <f aca="false">INDEX(G:G, COUNTA(B:B)-7+ROW())</f>
        <v>#VALUE!</v>
      </c>
    </row>
    <row r="4" customFormat="false" ht="15" hidden="false" customHeight="false" outlineLevel="0" collapsed="false">
      <c r="A4" s="5" t="n">
        <v>46022</v>
      </c>
      <c r="B4" s="6"/>
      <c r="C4" s="11" t="n">
        <f aca="false">B4-B3</f>
        <v>0</v>
      </c>
      <c r="D4" s="3" t="n">
        <f aca="false">B4*2.204623</f>
        <v>0</v>
      </c>
      <c r="E4" s="7" t="n">
        <f aca="false">C4*2.204623</f>
        <v>0</v>
      </c>
      <c r="F4" s="4" t="n">
        <f aca="false">A4</f>
        <v>46022</v>
      </c>
      <c r="G4" s="7" t="e">
        <f aca="false">AVERAGE(B3:B9)</f>
        <v>#DIV/0!</v>
      </c>
      <c r="H4" s="6" t="s">
        <v>2</v>
      </c>
      <c r="I4" s="12" t="e">
        <f aca="true">MEDIAN(OFFSET(B1, COUNTA(B:B)-7, 0, 7))</f>
        <v>#VALUE!</v>
      </c>
      <c r="K4" s="8" t="e">
        <f aca="false">INDEX(A:A, COUNTA(B:B)-7+ROW())</f>
        <v>#VALUE!</v>
      </c>
      <c r="L4" s="9" t="e">
        <f aca="false">INDEX(B:B, COUNTA(B:B)-7+ROW())</f>
        <v>#VALUE!</v>
      </c>
      <c r="M4" s="10" t="e">
        <f aca="false">INDEX(G:G, COUNTA(B:B)-7+ROW())</f>
        <v>#VALUE!</v>
      </c>
    </row>
    <row r="5" customFormat="false" ht="15" hidden="false" customHeight="false" outlineLevel="0" collapsed="false">
      <c r="A5" s="5" t="n">
        <v>46023</v>
      </c>
      <c r="B5" s="6"/>
      <c r="C5" s="11" t="n">
        <f aca="false">B5-B4</f>
        <v>0</v>
      </c>
      <c r="D5" s="3" t="n">
        <f aca="false">B5*2.204623</f>
        <v>0</v>
      </c>
      <c r="E5" s="7" t="n">
        <f aca="false">C5*2.204623</f>
        <v>0</v>
      </c>
      <c r="F5" s="4" t="n">
        <f aca="false">A5</f>
        <v>46023</v>
      </c>
      <c r="G5" s="7" t="e">
        <f aca="false">AVERAGE(B4:B10)</f>
        <v>#DIV/0!</v>
      </c>
      <c r="H5" s="1" t="s">
        <v>0</v>
      </c>
      <c r="I5" s="12" t="e">
        <f aca="true">AVERAGE(OFFSET(B1, COUNTA(B:B)-7, 0, 7))</f>
        <v>#VALUE!</v>
      </c>
      <c r="K5" s="8" t="e">
        <f aca="false">INDEX(A:A, COUNTA(B:B)-7+ROW())</f>
        <v>#VALUE!</v>
      </c>
      <c r="L5" s="9" t="e">
        <f aca="false">INDEX(B:B, COUNTA(B:B)-7+ROW())</f>
        <v>#VALUE!</v>
      </c>
      <c r="M5" s="10" t="e">
        <f aca="false">INDEX(G:G, COUNTA(B:B)-7+ROW())</f>
        <v>#VALUE!</v>
      </c>
    </row>
    <row r="6" customFormat="false" ht="15" hidden="false" customHeight="false" outlineLevel="0" collapsed="false">
      <c r="A6" s="5" t="n">
        <v>46024</v>
      </c>
      <c r="B6" s="6"/>
      <c r="C6" s="11" t="n">
        <f aca="false">B6-B5</f>
        <v>0</v>
      </c>
      <c r="D6" s="3" t="n">
        <f aca="false">B6*2.204623</f>
        <v>0</v>
      </c>
      <c r="E6" s="7" t="n">
        <f aca="false">C6*2.204623</f>
        <v>0</v>
      </c>
      <c r="F6" s="4" t="n">
        <f aca="false">A6</f>
        <v>46024</v>
      </c>
      <c r="G6" s="7" t="e">
        <f aca="false">AVERAGE(B5:B11)</f>
        <v>#DIV/0!</v>
      </c>
      <c r="H6" s="6" t="s">
        <v>3</v>
      </c>
      <c r="I6" s="3" t="e">
        <f aca="false">I5-I8</f>
        <v>#VALUE!</v>
      </c>
      <c r="K6" s="8" t="n">
        <f aca="false">INDEX(A:A, COUNTA(B:B)-7+ROW())</f>
        <v>46024</v>
      </c>
      <c r="L6" s="9" t="n">
        <f aca="false">INDEX(B:B, COUNTA(B:B)-7+ROW())</f>
        <v>0</v>
      </c>
      <c r="M6" s="10" t="e">
        <f aca="false">INDEX(G:G, COUNTA(B:B)-7+ROW())</f>
        <v>#DIV/0!</v>
      </c>
    </row>
    <row r="7" customFormat="false" ht="15" hidden="false" customHeight="false" outlineLevel="0" collapsed="false">
      <c r="A7" s="5" t="n">
        <v>46025</v>
      </c>
      <c r="B7" s="6"/>
      <c r="C7" s="11" t="n">
        <f aca="false">B7-B6</f>
        <v>0</v>
      </c>
      <c r="D7" s="3" t="n">
        <f aca="false">B7*2.204623</f>
        <v>0</v>
      </c>
      <c r="E7" s="7" t="n">
        <f aca="false">C7*2.204623</f>
        <v>0</v>
      </c>
      <c r="F7" s="4" t="n">
        <f aca="false">A7</f>
        <v>46025</v>
      </c>
      <c r="G7" s="7" t="e">
        <f aca="false">AVERAGE(B6:B12)</f>
        <v>#DIV/0!</v>
      </c>
      <c r="H7" s="6" t="s">
        <v>4</v>
      </c>
      <c r="I7" s="3" t="e">
        <f aca="false">102-I5</f>
        <v>#VALUE!</v>
      </c>
      <c r="K7" s="8" t="n">
        <f aca="false">INDEX(A:A, COUNTA(B:B)-7+ROW())</f>
        <v>46019</v>
      </c>
      <c r="L7" s="9" t="n">
        <f aca="false">INDEX(B:B, COUNTA(B:B)-7+ROW())</f>
        <v>78.7</v>
      </c>
      <c r="M7" s="10" t="str">
        <f aca="false">INDEX(G:G, COUNTA(B:B)-7+ROW())</f>
        <v>7 day average</v>
      </c>
    </row>
    <row r="8" customFormat="false" ht="15" hidden="false" customHeight="false" outlineLevel="0" collapsed="false">
      <c r="A8" s="5" t="n">
        <v>46026</v>
      </c>
      <c r="B8" s="6"/>
      <c r="C8" s="11" t="n">
        <f aca="false">B8-B7</f>
        <v>0</v>
      </c>
      <c r="D8" s="3" t="n">
        <f aca="false">B8*2.204623</f>
        <v>0</v>
      </c>
      <c r="E8" s="7" t="n">
        <f aca="false">C8*2.204623</f>
        <v>0</v>
      </c>
      <c r="F8" s="4" t="n">
        <f aca="false">A8</f>
        <v>46026</v>
      </c>
      <c r="G8" s="7" t="e">
        <f aca="false">AVERAGE(B7:B13)</f>
        <v>#DIV/0!</v>
      </c>
      <c r="H8" s="1" t="s">
        <v>5</v>
      </c>
      <c r="I8" s="3" t="n">
        <v>75</v>
      </c>
    </row>
    <row r="9" customFormat="false" ht="15" hidden="false" customHeight="false" outlineLevel="0" collapsed="false">
      <c r="A9" s="5" t="n">
        <v>46027</v>
      </c>
      <c r="B9" s="6"/>
      <c r="C9" s="11" t="n">
        <f aca="false">B9-B8</f>
        <v>0</v>
      </c>
      <c r="D9" s="3" t="n">
        <f aca="false">B9*2.204623</f>
        <v>0</v>
      </c>
      <c r="E9" s="7" t="n">
        <f aca="false">C9*2.204623</f>
        <v>0</v>
      </c>
      <c r="F9" s="4" t="n">
        <f aca="false">A9</f>
        <v>46027</v>
      </c>
      <c r="G9" s="7" t="e">
        <f aca="false">AVERAGE(B8:B14)</f>
        <v>#DIV/0!</v>
      </c>
    </row>
    <row r="10" customFormat="false" ht="15" hidden="false" customHeight="false" outlineLevel="0" collapsed="false">
      <c r="A10" s="5" t="n">
        <v>46028</v>
      </c>
      <c r="B10" s="6"/>
      <c r="C10" s="11" t="n">
        <f aca="false">B10-B9</f>
        <v>0</v>
      </c>
      <c r="D10" s="3" t="n">
        <f aca="false">B10*2.204623</f>
        <v>0</v>
      </c>
      <c r="E10" s="7" t="n">
        <f aca="false">C10*2.204623</f>
        <v>0</v>
      </c>
      <c r="F10" s="4" t="n">
        <f aca="false">A10</f>
        <v>46028</v>
      </c>
      <c r="G10" s="7" t="e">
        <f aca="false">AVERAGE(B9:B15)</f>
        <v>#DIV/0!</v>
      </c>
    </row>
    <row r="11" customFormat="false" ht="15" hidden="false" customHeight="false" outlineLevel="0" collapsed="false">
      <c r="A11" s="5" t="n">
        <v>46029</v>
      </c>
      <c r="C11" s="11" t="n">
        <f aca="false">B11-B10</f>
        <v>0</v>
      </c>
      <c r="D11" s="3" t="n">
        <f aca="false">B11*2.204623</f>
        <v>0</v>
      </c>
      <c r="E11" s="7" t="n">
        <f aca="false">C11*2.204623</f>
        <v>0</v>
      </c>
      <c r="F11" s="4" t="n">
        <f aca="false">A11</f>
        <v>46029</v>
      </c>
      <c r="G11" s="7" t="e">
        <f aca="false">AVERAGE(B10:B16)</f>
        <v>#DIV/0!</v>
      </c>
    </row>
    <row r="12" customFormat="false" ht="15" hidden="false" customHeight="false" outlineLevel="0" collapsed="false">
      <c r="A12" s="5" t="n">
        <v>46030</v>
      </c>
      <c r="C12" s="11" t="n">
        <f aca="false">B12-B11</f>
        <v>0</v>
      </c>
      <c r="D12" s="3" t="n">
        <f aca="false">B12*2.204623</f>
        <v>0</v>
      </c>
      <c r="E12" s="7" t="n">
        <f aca="false">C12*2.204623</f>
        <v>0</v>
      </c>
      <c r="F12" s="4" t="n">
        <f aca="false">A12</f>
        <v>46030</v>
      </c>
      <c r="G12" s="7" t="e">
        <f aca="false">AVERAGE(B11:B17)</f>
        <v>#DIV/0!</v>
      </c>
    </row>
    <row r="13" customFormat="false" ht="15" hidden="false" customHeight="false" outlineLevel="0" collapsed="false">
      <c r="A13" s="5" t="n">
        <v>46031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46031</v>
      </c>
      <c r="G13" s="7" t="e">
        <f aca="false">AVERAGE(B12:B18)</f>
        <v>#DIV/0!</v>
      </c>
    </row>
    <row r="14" customFormat="false" ht="15" hidden="false" customHeight="false" outlineLevel="0" collapsed="false">
      <c r="A14" s="5" t="n">
        <v>46032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46032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46033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46033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46034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46034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46035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46035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46036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46036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46037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46037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46038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46038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46039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46039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46040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46040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46041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46041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46042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46042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46043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46043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46044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46044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46045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46045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46046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46046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46047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46047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46048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46048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46049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46049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46050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46050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46051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46051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46052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46052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46053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46053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46054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46054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46055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46055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46056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46056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1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2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3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4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5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1701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2025-12-28T19:45:56Z</dcterms:modified>
  <cp:revision>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